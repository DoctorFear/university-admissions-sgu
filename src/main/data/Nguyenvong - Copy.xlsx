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LayeredDesign_Programming\university-admissions-sgu\src\main\data\"/>
    </mc:Choice>
  </mc:AlternateContent>
  <xr:revisionPtr revIDLastSave="0" documentId="13_ncr:1_{627FE58C-9879-42EE-B5B8-0FB7BF85F7A1}" xr6:coauthVersionLast="36" xr6:coauthVersionMax="47" xr10:uidLastSave="{00000000-0000-0000-0000-000000000000}"/>
  <bookViews>
    <workbookView xWindow="0" yWindow="0" windowWidth="23040" windowHeight="8436" activeTab="2" xr2:uid="{843855DF-4643-45F4-9477-198B663D2D74}"/>
  </bookViews>
  <sheets>
    <sheet name="TKchung" sheetId="6" r:id="rId1"/>
    <sheet name="Sheet1" sheetId="1" r:id="rId2"/>
    <sheet name="Sheet2" sheetId="2" r:id="rId3"/>
  </sheets>
  <definedNames>
    <definedName name="_xlnm._FilterDatabase" localSheetId="1" hidden="1">Sheet1!$A$5:$J$5</definedName>
    <definedName name="_xlnm._FilterDatabase" localSheetId="2" hidden="1">Sheet2!$A$5:$I$5</definedName>
    <definedName name="_xlnm._FilterDatabase" localSheetId="0" hidden="1">TKchung!$A$3:$L$30</definedName>
    <definedName name="_xlnm.Print_Area" localSheetId="0">TKchung!$A:$L</definedName>
    <definedName name="_xlnm.Print_Titles" localSheetId="1">Sheet1!$5:$5</definedName>
    <definedName name="_xlnm.Print_Titles" localSheetId="2">Sheet2!$5:$5</definedName>
    <definedName name="_xlnm.Print_Titles" localSheetId="0">TKchung!$2:$3</definedName>
  </definedNames>
  <calcPr calcId="191029"/>
</workbook>
</file>

<file path=xl/calcChain.xml><?xml version="1.0" encoding="utf-8"?>
<calcChain xmlns="http://schemas.openxmlformats.org/spreadsheetml/2006/main">
  <c r="K5" i="6" l="1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4" i="6"/>
  <c r="F5" i="6"/>
  <c r="G5" i="6"/>
  <c r="H5" i="6"/>
  <c r="I5" i="6"/>
  <c r="J5" i="6"/>
  <c r="F6" i="6"/>
  <c r="G6" i="6"/>
  <c r="H6" i="6"/>
  <c r="I6" i="6"/>
  <c r="J6" i="6"/>
  <c r="F7" i="6"/>
  <c r="G7" i="6"/>
  <c r="H7" i="6"/>
  <c r="I7" i="6"/>
  <c r="J7" i="6"/>
  <c r="F8" i="6"/>
  <c r="G8" i="6"/>
  <c r="H8" i="6"/>
  <c r="I8" i="6"/>
  <c r="J8" i="6"/>
  <c r="F9" i="6"/>
  <c r="G9" i="6"/>
  <c r="H9" i="6"/>
  <c r="I9" i="6"/>
  <c r="J9" i="6"/>
  <c r="F10" i="6"/>
  <c r="G10" i="6"/>
  <c r="H10" i="6"/>
  <c r="I10" i="6"/>
  <c r="J10" i="6"/>
  <c r="F11" i="6"/>
  <c r="G11" i="6"/>
  <c r="H11" i="6"/>
  <c r="I11" i="6"/>
  <c r="J11" i="6"/>
  <c r="F12" i="6"/>
  <c r="G12" i="6"/>
  <c r="H12" i="6"/>
  <c r="I12" i="6"/>
  <c r="J12" i="6"/>
  <c r="F13" i="6"/>
  <c r="G13" i="6"/>
  <c r="H13" i="6"/>
  <c r="I13" i="6"/>
  <c r="J13" i="6"/>
  <c r="F14" i="6"/>
  <c r="G14" i="6"/>
  <c r="H14" i="6"/>
  <c r="I14" i="6"/>
  <c r="J14" i="6"/>
  <c r="F15" i="6"/>
  <c r="G15" i="6"/>
  <c r="H15" i="6"/>
  <c r="I15" i="6"/>
  <c r="J15" i="6"/>
  <c r="F16" i="6"/>
  <c r="G16" i="6"/>
  <c r="H16" i="6"/>
  <c r="I16" i="6"/>
  <c r="J16" i="6"/>
  <c r="F17" i="6"/>
  <c r="G17" i="6"/>
  <c r="H17" i="6"/>
  <c r="I17" i="6"/>
  <c r="J17" i="6"/>
  <c r="F18" i="6"/>
  <c r="G18" i="6"/>
  <c r="H18" i="6"/>
  <c r="I18" i="6"/>
  <c r="J18" i="6"/>
  <c r="F19" i="6"/>
  <c r="G19" i="6"/>
  <c r="H19" i="6"/>
  <c r="I19" i="6"/>
  <c r="J19" i="6"/>
  <c r="F20" i="6"/>
  <c r="G20" i="6"/>
  <c r="H20" i="6"/>
  <c r="I20" i="6"/>
  <c r="J20" i="6"/>
  <c r="F21" i="6"/>
  <c r="G21" i="6"/>
  <c r="H21" i="6"/>
  <c r="I21" i="6"/>
  <c r="J21" i="6"/>
  <c r="F22" i="6"/>
  <c r="G22" i="6"/>
  <c r="H22" i="6"/>
  <c r="I22" i="6"/>
  <c r="J22" i="6"/>
  <c r="F23" i="6"/>
  <c r="G23" i="6"/>
  <c r="H23" i="6"/>
  <c r="I23" i="6"/>
  <c r="J23" i="6"/>
  <c r="F24" i="6"/>
  <c r="G24" i="6"/>
  <c r="H24" i="6"/>
  <c r="I24" i="6"/>
  <c r="J24" i="6"/>
  <c r="F25" i="6"/>
  <c r="G25" i="6"/>
  <c r="H25" i="6"/>
  <c r="I25" i="6"/>
  <c r="J25" i="6"/>
  <c r="F26" i="6"/>
  <c r="G26" i="6"/>
  <c r="H26" i="6"/>
  <c r="I26" i="6"/>
  <c r="J26" i="6"/>
  <c r="F27" i="6"/>
  <c r="G27" i="6"/>
  <c r="H27" i="6"/>
  <c r="I27" i="6"/>
  <c r="J27" i="6"/>
  <c r="F28" i="6"/>
  <c r="G28" i="6"/>
  <c r="H28" i="6"/>
  <c r="I28" i="6"/>
  <c r="J28" i="6"/>
  <c r="F29" i="6"/>
  <c r="G29" i="6"/>
  <c r="H29" i="6"/>
  <c r="I29" i="6"/>
  <c r="J29" i="6"/>
  <c r="F30" i="6"/>
  <c r="G30" i="6"/>
  <c r="H30" i="6"/>
  <c r="I30" i="6"/>
  <c r="J30" i="6"/>
  <c r="G4" i="6"/>
  <c r="H4" i="6"/>
  <c r="I4" i="6"/>
  <c r="J4" i="6"/>
  <c r="F4" i="6"/>
  <c r="E28" i="6" l="1"/>
  <c r="E16" i="6"/>
  <c r="E4" i="6"/>
  <c r="E27" i="6"/>
  <c r="E15" i="6"/>
  <c r="E26" i="6"/>
  <c r="E14" i="6"/>
  <c r="E25" i="6"/>
  <c r="E13" i="6"/>
  <c r="E24" i="6"/>
  <c r="E12" i="6"/>
  <c r="E23" i="6"/>
  <c r="E11" i="6"/>
  <c r="E22" i="6"/>
  <c r="E10" i="6"/>
  <c r="E21" i="6"/>
  <c r="E9" i="6"/>
  <c r="E20" i="6"/>
  <c r="E8" i="6"/>
  <c r="E19" i="6"/>
  <c r="E7" i="6"/>
  <c r="E30" i="6"/>
  <c r="E18" i="6"/>
  <c r="E6" i="6"/>
  <c r="E29" i="6"/>
  <c r="E17" i="6"/>
  <c r="E5" i="6"/>
  <c r="L4" i="6"/>
  <c r="L11" i="6"/>
  <c r="L28" i="6"/>
  <c r="L21" i="6"/>
  <c r="L18" i="6"/>
  <c r="L6" i="6"/>
  <c r="L23" i="6"/>
  <c r="L29" i="6"/>
  <c r="L17" i="6"/>
  <c r="L5" i="6"/>
  <c r="L24" i="6"/>
  <c r="L12" i="6"/>
  <c r="L19" i="6"/>
  <c r="L7" i="6"/>
  <c r="L26" i="6"/>
  <c r="L14" i="6"/>
  <c r="L9" i="6"/>
  <c r="L16" i="6"/>
  <c r="L25" i="6"/>
  <c r="L13" i="6"/>
  <c r="L30" i="6"/>
  <c r="L20" i="6"/>
  <c r="L8" i="6"/>
  <c r="L27" i="6"/>
  <c r="L15" i="6"/>
  <c r="L22" i="6"/>
  <c r="L10" i="6"/>
</calcChain>
</file>

<file path=xl/sharedStrings.xml><?xml version="1.0" encoding="utf-8"?>
<sst xmlns="http://schemas.openxmlformats.org/spreadsheetml/2006/main" count="482" uniqueCount="146">
  <si>
    <t>STT</t>
  </si>
  <si>
    <t>Mã trường</t>
  </si>
  <si>
    <t>Tên trường</t>
  </si>
  <si>
    <t>Thứ tự NV</t>
  </si>
  <si>
    <t xml:space="preserve">DANH SÁCH NGUYỆN VỌNG THÍ SINH </t>
  </si>
  <si>
    <t>Mã xét tuyển</t>
  </si>
  <si>
    <t>Tên mã xét tuyển</t>
  </si>
  <si>
    <t>Nguyện vọng tuyển thẳng(điều 8)</t>
  </si>
  <si>
    <t>SGD</t>
  </si>
  <si>
    <t>TRƯỜNG ĐẠI HỌC SÀI GÒN</t>
  </si>
  <si>
    <t>7140217</t>
  </si>
  <si>
    <t>Sư phạm Ngữ văn</t>
  </si>
  <si>
    <t>7140222</t>
  </si>
  <si>
    <t>Sư phạm Mỹ thuật</t>
  </si>
  <si>
    <t>7220201</t>
  </si>
  <si>
    <t>Ngôn ngữ Anh</t>
  </si>
  <si>
    <t>7220201CLC</t>
  </si>
  <si>
    <t>Ngôn ngữ Anh (Chương trình đào tạo chất lượng cao)</t>
  </si>
  <si>
    <t>7340101</t>
  </si>
  <si>
    <t>Quản trị kinh doanh</t>
  </si>
  <si>
    <t>7480107</t>
  </si>
  <si>
    <t>Trí tuệ nhân tạo</t>
  </si>
  <si>
    <t>7340120</t>
  </si>
  <si>
    <t>Kinh doanh quốc tế</t>
  </si>
  <si>
    <t>7340302</t>
  </si>
  <si>
    <t>Kiểm toán</t>
  </si>
  <si>
    <t>7340301</t>
  </si>
  <si>
    <t>Kế toán</t>
  </si>
  <si>
    <t>7140219</t>
  </si>
  <si>
    <t>Sư phạm Địa lý</t>
  </si>
  <si>
    <t>7140249</t>
  </si>
  <si>
    <t>Sư phạm Lịch sử - Địa lý</t>
  </si>
  <si>
    <t>7310501</t>
  </si>
  <si>
    <t>Địa lý học</t>
  </si>
  <si>
    <t>7140218</t>
  </si>
  <si>
    <t>Sư phạm Lịch sử</t>
  </si>
  <si>
    <t>7310401</t>
  </si>
  <si>
    <t>Tâm lý học</t>
  </si>
  <si>
    <t>7520207</t>
  </si>
  <si>
    <t>Kỹ thuật điện tử - viễn thông</t>
  </si>
  <si>
    <t>7340201</t>
  </si>
  <si>
    <t>Tài chính - Ngân hàng</t>
  </si>
  <si>
    <t>7380101</t>
  </si>
  <si>
    <t>Luật</t>
  </si>
  <si>
    <t>7510406</t>
  </si>
  <si>
    <t>Công nghệ kỹ thuật môi trường</t>
  </si>
  <si>
    <t>7310601</t>
  </si>
  <si>
    <t>Quốc tế học</t>
  </si>
  <si>
    <t>7810101</t>
  </si>
  <si>
    <t>Du lịch</t>
  </si>
  <si>
    <t>7810202</t>
  </si>
  <si>
    <t>Quản trị nhà hàng và dịch vụ ăn uống</t>
  </si>
  <si>
    <t>7510301</t>
  </si>
  <si>
    <t>Công nghệ kỹ thuật điện, điện tử</t>
  </si>
  <si>
    <t>7510302</t>
  </si>
  <si>
    <t>Công nghệ kỹ thuật điện tử – viễn thông</t>
  </si>
  <si>
    <t>7520201</t>
  </si>
  <si>
    <t>Kỹ thuật điện</t>
  </si>
  <si>
    <t>7480201</t>
  </si>
  <si>
    <t>Công nghệ thông tin</t>
  </si>
  <si>
    <t>7140231</t>
  </si>
  <si>
    <t>Sư phạm Tiếng Anh</t>
  </si>
  <si>
    <t>7140212</t>
  </si>
  <si>
    <t>Sư phạm Hoá học</t>
  </si>
  <si>
    <t>7140247</t>
  </si>
  <si>
    <t>Sư phạm Khoa học tự nhiên</t>
  </si>
  <si>
    <t>7140209</t>
  </si>
  <si>
    <t>Sư phạm Toán học</t>
  </si>
  <si>
    <t>7340101CLC</t>
  </si>
  <si>
    <t>Quản trị kinh doanh (Chương trình đào tạo chất lượng cao)</t>
  </si>
  <si>
    <t>7310630</t>
  </si>
  <si>
    <t>Việt Nam học</t>
  </si>
  <si>
    <t>7140211</t>
  </si>
  <si>
    <t>Sư phạm Vật lý</t>
  </si>
  <si>
    <t>7140202</t>
  </si>
  <si>
    <t>Giáo dục Tiểu học</t>
  </si>
  <si>
    <t>7140114</t>
  </si>
  <si>
    <t>Quản lý giáo dục</t>
  </si>
  <si>
    <t>7140205</t>
  </si>
  <si>
    <t>Giáo dục chính trị</t>
  </si>
  <si>
    <t>7229010</t>
  </si>
  <si>
    <t>Lịch sử</t>
  </si>
  <si>
    <t>7320201</t>
  </si>
  <si>
    <t>Thông tin - Thư viện</t>
  </si>
  <si>
    <t>7140201</t>
  </si>
  <si>
    <t>Giáo dục Mầm non</t>
  </si>
  <si>
    <t>7140221</t>
  </si>
  <si>
    <t>Sư phạm Âm nhạc</t>
  </si>
  <si>
    <t>7140213</t>
  </si>
  <si>
    <t>Sư phạm Sinh học</t>
  </si>
  <si>
    <t>SGD - TRƯỜNG ĐẠI HỌC SÀI GÒN</t>
  </si>
  <si>
    <t>&gt;5</t>
  </si>
  <si>
    <t>TT</t>
  </si>
  <si>
    <t>THỐNG KÊ NGUYỆN VỌNG XÉT TUYỂN NĂM 2025</t>
  </si>
  <si>
    <t>Thứ tự nguyện vọng</t>
  </si>
  <si>
    <t>Chỉ tiêu 2025</t>
  </si>
  <si>
    <t>Tổng NV 1-5</t>
  </si>
  <si>
    <t>Tổng tất cả NV</t>
  </si>
  <si>
    <t>TS_33417</t>
  </si>
  <si>
    <t>TS_28017</t>
  </si>
  <si>
    <t>TS_2798</t>
  </si>
  <si>
    <t>TS_6945</t>
  </si>
  <si>
    <t>TS_16618</t>
  </si>
  <si>
    <t>TS_7908</t>
  </si>
  <si>
    <t>TS_6075</t>
  </si>
  <si>
    <t>TS_11030</t>
  </si>
  <si>
    <t>TS_11062</t>
  </si>
  <si>
    <t>TS_44173</t>
  </si>
  <si>
    <t>TS_46688</t>
  </si>
  <si>
    <t>TS_45134</t>
  </si>
  <si>
    <t>TS_35489</t>
  </si>
  <si>
    <t>TS_15473</t>
  </si>
  <si>
    <t>TS_2547</t>
  </si>
  <si>
    <t>TS_7569</t>
  </si>
  <si>
    <t>TS_2083</t>
  </si>
  <si>
    <t>TS_1054</t>
  </si>
  <si>
    <t>TS_6316</t>
  </si>
  <si>
    <t>TS_33479</t>
  </si>
  <si>
    <t>TS_6035</t>
  </si>
  <si>
    <t>TS_7738</t>
  </si>
  <si>
    <t>TS_15966</t>
  </si>
  <si>
    <t>TS_16576</t>
  </si>
  <si>
    <t>TS_42722</t>
  </si>
  <si>
    <t>TS_7470</t>
  </si>
  <si>
    <t>TS_46558</t>
  </si>
  <si>
    <t>TS_26091</t>
  </si>
  <si>
    <t>TS_38683</t>
  </si>
  <si>
    <t>TS_28347</t>
  </si>
  <si>
    <t>TS_38060</t>
  </si>
  <si>
    <t>TS_29691</t>
  </si>
  <si>
    <t>TS_19279</t>
  </si>
  <si>
    <t>TS_48572</t>
  </si>
  <si>
    <t>TS_22588</t>
  </si>
  <si>
    <t>TS_41657</t>
  </si>
  <si>
    <t>TS_22715</t>
  </si>
  <si>
    <t>TS_18827</t>
  </si>
  <si>
    <t>TS_23344</t>
  </si>
  <si>
    <t>TS_47816</t>
  </si>
  <si>
    <t>TS_41872</t>
  </si>
  <si>
    <t>TS_30569</t>
  </si>
  <si>
    <t>TS_42146</t>
  </si>
  <si>
    <t>TS_26563</t>
  </si>
  <si>
    <t>TS_24062</t>
  </si>
  <si>
    <t>TS_30619</t>
  </si>
  <si>
    <t>TS_40719</t>
  </si>
  <si>
    <t>CCCD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</si>
</sst>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 x14ac:knownFonts="1">
    <font>
      <sz val="11"/>
      <color indexed="8"/>
      <name val="Calibri"/>
      <family val="2"/>
    </font>
    <font>
      <b/>
      <sz val="11"/>
      <color indexed="8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9">
    <xf numFmtId="0" fontId="0" fillId="0" borderId="0" applyNumberFormat="0" applyFont="0" applyFill="0" applyBorder="0" applyAlignment="0" applyProtection="0"/>
    <xf numFmtId="0" fontId="2" fillId="2" borderId="0" applyFont="0" applyFill="0"/>
    <xf numFmtId="0" fontId="2" fillId="3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8" borderId="0" applyFont="0" applyFill="0"/>
    <xf numFmtId="0" fontId="2" fillId="9" borderId="0" applyFont="0" applyFill="0"/>
    <xf numFmtId="0" fontId="2" fillId="10" borderId="0" applyFont="0" applyFill="0"/>
    <xf numFmtId="0" fontId="2" fillId="11" borderId="0" applyFont="0" applyFill="0"/>
    <xf numFmtId="0" fontId="3" fillId="12" borderId="0" applyFont="0" applyFill="0"/>
    <xf numFmtId="0" fontId="3" fillId="9" borderId="0" applyFont="0" applyFill="0"/>
    <xf numFmtId="0" fontId="3" fillId="10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7" borderId="0" applyFont="0" applyFill="0"/>
    <xf numFmtId="0" fontId="3" fillId="18" borderId="0" applyFont="0" applyFill="0"/>
    <xf numFmtId="0" fontId="3" fillId="19" borderId="0" applyFont="0" applyFill="0"/>
    <xf numFmtId="0" fontId="4" fillId="3" borderId="0" applyFont="0" applyFill="0"/>
    <xf numFmtId="0" fontId="5" fillId="20" borderId="1" applyFont="0" applyFill="0" applyBorder="0"/>
    <xf numFmtId="0" fontId="6" fillId="21" borderId="2" applyFont="0" applyFill="0" applyBorder="0"/>
    <xf numFmtId="43" fontId="2" fillId="0" borderId="0" applyNumberFormat="0"/>
    <xf numFmtId="0" fontId="7" fillId="0" borderId="0" applyFont="0"/>
    <xf numFmtId="0" fontId="8" fillId="4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7" borderId="1" applyFont="0" applyFill="0" applyBorder="0"/>
    <xf numFmtId="0" fontId="13" fillId="0" borderId="6" applyFont="0" applyBorder="0"/>
    <xf numFmtId="0" fontId="14" fillId="22" borderId="0" applyFont="0" applyFill="0"/>
    <xf numFmtId="0" fontId="2" fillId="23" borderId="7" applyFill="0" applyBorder="0"/>
    <xf numFmtId="0" fontId="15" fillId="20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34">
    <xf numFmtId="0" fontId="0" fillId="0" borderId="0" xfId="0"/>
    <xf numFmtId="0" fontId="19" fillId="0" borderId="0" xfId="0" applyFont="1"/>
    <xf numFmtId="0" fontId="20" fillId="0" borderId="0" xfId="0" applyFont="1"/>
    <xf numFmtId="0" fontId="20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center" vertical="center" wrapText="1"/>
    </xf>
    <xf numFmtId="49" fontId="19" fillId="0" borderId="10" xfId="0" applyNumberFormat="1" applyFont="1" applyBorder="1" applyAlignment="1">
      <alignment horizontal="left" vertical="center" wrapText="1"/>
    </xf>
    <xf numFmtId="49" fontId="19" fillId="0" borderId="0" xfId="0" applyNumberFormat="1" applyFont="1"/>
    <xf numFmtId="0" fontId="19" fillId="0" borderId="0" xfId="0" applyFont="1" applyAlignment="1"/>
    <xf numFmtId="0" fontId="20" fillId="0" borderId="10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49" fontId="19" fillId="0" borderId="0" xfId="0" applyNumberFormat="1" applyFont="1" applyAlignment="1"/>
    <xf numFmtId="0" fontId="17" fillId="0" borderId="0" xfId="0" applyFon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3" fontId="17" fillId="0" borderId="10" xfId="24" applyNumberFormat="1" applyFont="1" applyBorder="1"/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49" fontId="17" fillId="0" borderId="10" xfId="0" applyNumberFormat="1" applyFont="1" applyBorder="1" applyAlignment="1">
      <alignment horizontal="center" vertical="center"/>
    </xf>
    <xf numFmtId="49" fontId="0" fillId="0" borderId="10" xfId="0" applyNumberFormat="1" applyBorder="1" applyAlignment="1">
      <alignment horizontal="right"/>
    </xf>
    <xf numFmtId="0" fontId="17" fillId="0" borderId="10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horizontal="right"/>
    </xf>
    <xf numFmtId="0" fontId="0" fillId="0" borderId="0" xfId="0" applyAlignment="1">
      <alignment horizontal="right"/>
    </xf>
    <xf numFmtId="0" fontId="17" fillId="0" borderId="10" xfId="0" applyFont="1" applyBorder="1" applyAlignment="1">
      <alignment horizontal="right" vertical="center"/>
    </xf>
    <xf numFmtId="0" fontId="0" fillId="0" borderId="10" xfId="0" applyBorder="1" applyAlignment="1">
      <alignment horizontal="right"/>
    </xf>
    <xf numFmtId="49" fontId="0" fillId="24" borderId="10" xfId="0" applyNumberFormat="1" applyFill="1" applyBorder="1" applyAlignment="1">
      <alignment horizontal="right"/>
    </xf>
    <xf numFmtId="0" fontId="1" fillId="0" borderId="10" xfId="0" applyFont="1" applyBorder="1" applyAlignment="1">
      <alignment horizontal="center" vertical="center"/>
    </xf>
    <xf numFmtId="0" fontId="19" fillId="0" borderId="10" xfId="0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Comma" xfId="24" builtinId="3"/>
    <cellStyle name="Explanatory Text" xfId="25" builtinId="53" customBuiltin="1"/>
    <cellStyle name="Good" xfId="26" builtinId="26" customBuiltin="1"/>
    <cellStyle name="Heading 1" xfId="27" builtinId="16" customBuiltin="1"/>
    <cellStyle name="Heading 2" xfId="28" builtinId="17" customBuiltin="1"/>
    <cellStyle name="Heading 3" xfId="29" builtinId="18" customBuiltin="1"/>
    <cellStyle name="Heading 4" xfId="30" builtinId="19" customBuiltin="1"/>
    <cellStyle name="Input" xfId="31" builtinId="20" customBuiltin="1"/>
    <cellStyle name="Linked Cell" xfId="32" builtinId="24" customBuiltin="1"/>
    <cellStyle name="Neutral" xfId="33" builtinId="28" customBuiltin="1"/>
    <cellStyle name="Normal" xfId="0" builtinId="0"/>
    <cellStyle name="Note" xfId="34" builtinId="10" customBuiltin="1"/>
    <cellStyle name="Output" xfId="35" builtinId="21" customBuiltin="1"/>
    <cellStyle name="Title" xfId="36" builtinId="15" customBuiltin="1"/>
    <cellStyle name="Total" xfId="37" builtinId="25" customBuiltin="1"/>
    <cellStyle name="Warning Text" xfId="3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17348-3D5C-4D4F-8F64-5E9E4E58C058}">
  <sheetPr>
    <pageSetUpPr fitToPage="1"/>
  </sheetPr>
  <dimension ref="A1:L30"/>
  <sheetViews>
    <sheetView workbookViewId="0">
      <selection activeCell="D34" sqref="D34"/>
    </sheetView>
  </sheetViews>
  <sheetFormatPr defaultColWidth="8.77734375" defaultRowHeight="14.4" x14ac:dyDescent="0.3"/>
  <cols>
    <col min="1" max="1" width="5" style="13" customWidth="1"/>
    <col min="2" max="2" width="11.6640625" bestFit="1" customWidth="1"/>
    <col min="3" max="3" width="49.6640625" bestFit="1" customWidth="1"/>
    <col min="4" max="4" width="11.77734375" style="24" bestFit="1" customWidth="1"/>
    <col min="12" max="12" width="9.109375" style="12" customWidth="1"/>
  </cols>
  <sheetData>
    <row r="1" spans="1:12" x14ac:dyDescent="0.3">
      <c r="B1" s="12" t="s">
        <v>93</v>
      </c>
    </row>
    <row r="2" spans="1:12" x14ac:dyDescent="0.3">
      <c r="F2" s="30" t="s">
        <v>94</v>
      </c>
      <c r="G2" s="30"/>
      <c r="H2" s="30"/>
      <c r="I2" s="30"/>
      <c r="J2" s="30"/>
      <c r="K2" s="30"/>
    </row>
    <row r="3" spans="1:12" ht="28.8" x14ac:dyDescent="0.3">
      <c r="A3" s="17" t="s">
        <v>92</v>
      </c>
      <c r="B3" s="18" t="s">
        <v>5</v>
      </c>
      <c r="C3" s="18" t="s">
        <v>6</v>
      </c>
      <c r="D3" s="25" t="s">
        <v>95</v>
      </c>
      <c r="E3" s="21" t="s">
        <v>96</v>
      </c>
      <c r="F3" s="19">
        <v>1</v>
      </c>
      <c r="G3" s="19">
        <v>2</v>
      </c>
      <c r="H3" s="19">
        <v>3</v>
      </c>
      <c r="I3" s="19">
        <v>4</v>
      </c>
      <c r="J3" s="19">
        <v>5</v>
      </c>
      <c r="K3" s="17" t="s">
        <v>91</v>
      </c>
      <c r="L3" s="22" t="s">
        <v>97</v>
      </c>
    </row>
    <row r="4" spans="1:12" x14ac:dyDescent="0.3">
      <c r="A4" s="14">
        <v>1</v>
      </c>
      <c r="B4" s="15" t="s">
        <v>76</v>
      </c>
      <c r="C4" s="15" t="s">
        <v>77</v>
      </c>
      <c r="D4" s="26">
        <v>40</v>
      </c>
      <c r="E4" s="23">
        <f>SUM(F4:J4)</f>
        <v>0</v>
      </c>
      <c r="F4" s="20">
        <f>COUNTIFS(Sheet1!$F$6:$F$54,TKchung!$B4,Sheet1!$C$6:$C$54,TKchung!F$3)+COUNTIFS(Sheet2!$F$6:$F$36,TKchung!$B4,Sheet2!$C$6:$C$36,TKchung!F$3)</f>
        <v>0</v>
      </c>
      <c r="G4" s="20">
        <f>COUNTIFS(Sheet1!$F$6:$F$54,TKchung!$B4,Sheet1!$C$6:$C$54,TKchung!G$3)+COUNTIFS(Sheet2!$F$6:$F$36,TKchung!$B4,Sheet2!$C$6:$C$36,TKchung!G$3)</f>
        <v>0</v>
      </c>
      <c r="H4" s="20">
        <f>COUNTIFS(Sheet1!$F$6:$F$54,TKchung!$B4,Sheet1!$C$6:$C$54,TKchung!H$3)+COUNTIFS(Sheet2!$F$6:$F$36,TKchung!$B4,Sheet2!$C$6:$C$36,TKchung!H$3)</f>
        <v>0</v>
      </c>
      <c r="I4" s="20">
        <f>COUNTIFS(Sheet1!$F$6:$F$54,TKchung!$B4,Sheet1!$C$6:$C$54,TKchung!I$3)+COUNTIFS(Sheet2!$F$6:$F$36,TKchung!$B4,Sheet2!$C$6:$C$36,TKchung!I$3)</f>
        <v>0</v>
      </c>
      <c r="J4" s="20">
        <f>COUNTIFS(Sheet1!$F$6:$F$54,TKchung!$B4,Sheet1!$C$6:$C$54,TKchung!J$3)+COUNTIFS(Sheet2!$F$6:$F$36,TKchung!$B4,Sheet2!$C$6:$C$36,TKchung!J$3)</f>
        <v>0</v>
      </c>
      <c r="K4" s="20">
        <f>COUNTIFS(Sheet1!$F$6:$F$54,TKchung!$B4,Sheet1!$C$6:$C$54,TKchung!K$3)+COUNTIFS(Sheet2!$F$6:$F$36,TKchung!$B4,Sheet2!$C$6:$C$36,TKchung!K$3)</f>
        <v>1</v>
      </c>
      <c r="L4" s="16">
        <f t="shared" ref="L4:L30" si="0">SUM(F4:K4)</f>
        <v>1</v>
      </c>
    </row>
    <row r="5" spans="1:12" x14ac:dyDescent="0.3">
      <c r="A5" s="14">
        <v>2</v>
      </c>
      <c r="B5" s="15" t="s">
        <v>84</v>
      </c>
      <c r="C5" s="15" t="s">
        <v>85</v>
      </c>
      <c r="D5" s="26">
        <v>200</v>
      </c>
      <c r="E5" s="23">
        <f t="shared" ref="E5:E30" si="1">SUM(F5:J5)</f>
        <v>0</v>
      </c>
      <c r="F5" s="20">
        <f>COUNTIFS(Sheet1!$F$6:$F$54,TKchung!$B5,Sheet1!$C$6:$C$54,TKchung!F$3)+COUNTIFS(Sheet2!$F$6:$F$36,TKchung!$B5,Sheet2!$C$6:$C$36,TKchung!F$3)</f>
        <v>0</v>
      </c>
      <c r="G5" s="20">
        <f>COUNTIFS(Sheet1!$F$6:$F$54,TKchung!$B5,Sheet1!$C$6:$C$54,TKchung!G$3)+COUNTIFS(Sheet2!$F$6:$F$36,TKchung!$B5,Sheet2!$C$6:$C$36,TKchung!G$3)</f>
        <v>0</v>
      </c>
      <c r="H5" s="20">
        <f>COUNTIFS(Sheet1!$F$6:$F$54,TKchung!$B5,Sheet1!$C$6:$C$54,TKchung!H$3)+COUNTIFS(Sheet2!$F$6:$F$36,TKchung!$B5,Sheet2!$C$6:$C$36,TKchung!H$3)</f>
        <v>0</v>
      </c>
      <c r="I5" s="20">
        <f>COUNTIFS(Sheet1!$F$6:$F$54,TKchung!$B5,Sheet1!$C$6:$C$54,TKchung!I$3)+COUNTIFS(Sheet2!$F$6:$F$36,TKchung!$B5,Sheet2!$C$6:$C$36,TKchung!I$3)</f>
        <v>0</v>
      </c>
      <c r="J5" s="20">
        <f>COUNTIFS(Sheet1!$F$6:$F$54,TKchung!$B5,Sheet1!$C$6:$C$54,TKchung!J$3)+COUNTIFS(Sheet2!$F$6:$F$36,TKchung!$B5,Sheet2!$C$6:$C$36,TKchung!J$3)</f>
        <v>0</v>
      </c>
      <c r="K5" s="20">
        <f>COUNTIFS(Sheet1!$F$6:$F$54,TKchung!$B5,Sheet1!$C$6:$C$54,TKchung!K$3)+COUNTIFS(Sheet2!$F$6:$F$36,TKchung!$B5,Sheet2!$C$6:$C$36,TKchung!K$3)</f>
        <v>0</v>
      </c>
      <c r="L5" s="16">
        <f t="shared" si="0"/>
        <v>0</v>
      </c>
    </row>
    <row r="6" spans="1:12" x14ac:dyDescent="0.3">
      <c r="A6" s="14">
        <v>3</v>
      </c>
      <c r="B6" s="15" t="s">
        <v>74</v>
      </c>
      <c r="C6" s="15" t="s">
        <v>75</v>
      </c>
      <c r="D6" s="26">
        <v>200</v>
      </c>
      <c r="E6" s="23">
        <f t="shared" si="1"/>
        <v>4</v>
      </c>
      <c r="F6" s="20">
        <f>COUNTIFS(Sheet1!$F$6:$F$54,TKchung!$B6,Sheet1!$C$6:$C$54,TKchung!F$3)+COUNTIFS(Sheet2!$F$6:$F$36,TKchung!$B6,Sheet2!$C$6:$C$36,TKchung!F$3)</f>
        <v>0</v>
      </c>
      <c r="G6" s="20">
        <f>COUNTIFS(Sheet1!$F$6:$F$54,TKchung!$B6,Sheet1!$C$6:$C$54,TKchung!G$3)+COUNTIFS(Sheet2!$F$6:$F$36,TKchung!$B6,Sheet2!$C$6:$C$36,TKchung!G$3)</f>
        <v>3</v>
      </c>
      <c r="H6" s="20">
        <f>COUNTIFS(Sheet1!$F$6:$F$54,TKchung!$B6,Sheet1!$C$6:$C$54,TKchung!H$3)+COUNTIFS(Sheet2!$F$6:$F$36,TKchung!$B6,Sheet2!$C$6:$C$36,TKchung!H$3)</f>
        <v>1</v>
      </c>
      <c r="I6" s="20">
        <f>COUNTIFS(Sheet1!$F$6:$F$54,TKchung!$B6,Sheet1!$C$6:$C$54,TKchung!I$3)+COUNTIFS(Sheet2!$F$6:$F$36,TKchung!$B6,Sheet2!$C$6:$C$36,TKchung!I$3)</f>
        <v>0</v>
      </c>
      <c r="J6" s="20">
        <f>COUNTIFS(Sheet1!$F$6:$F$54,TKchung!$B6,Sheet1!$C$6:$C$54,TKchung!J$3)+COUNTIFS(Sheet2!$F$6:$F$36,TKchung!$B6,Sheet2!$C$6:$C$36,TKchung!J$3)</f>
        <v>0</v>
      </c>
      <c r="K6" s="20">
        <f>COUNTIFS(Sheet1!$F$6:$F$54,TKchung!$B6,Sheet1!$C$6:$C$54,TKchung!K$3)+COUNTIFS(Sheet2!$F$6:$F$36,TKchung!$B6,Sheet2!$C$6:$C$36,TKchung!K$3)</f>
        <v>1</v>
      </c>
      <c r="L6" s="16">
        <f t="shared" si="0"/>
        <v>5</v>
      </c>
    </row>
    <row r="7" spans="1:12" x14ac:dyDescent="0.3">
      <c r="A7" s="14">
        <v>4</v>
      </c>
      <c r="B7" s="15" t="s">
        <v>78</v>
      </c>
      <c r="C7" s="15" t="s">
        <v>79</v>
      </c>
      <c r="D7" s="26">
        <v>10</v>
      </c>
      <c r="E7" s="23">
        <f t="shared" si="1"/>
        <v>0</v>
      </c>
      <c r="F7" s="20">
        <f>COUNTIFS(Sheet1!$F$6:$F$54,TKchung!$B7,Sheet1!$C$6:$C$54,TKchung!F$3)+COUNTIFS(Sheet2!$F$6:$F$36,TKchung!$B7,Sheet2!$C$6:$C$36,TKchung!F$3)</f>
        <v>0</v>
      </c>
      <c r="G7" s="20">
        <f>COUNTIFS(Sheet1!$F$6:$F$54,TKchung!$B7,Sheet1!$C$6:$C$54,TKchung!G$3)+COUNTIFS(Sheet2!$F$6:$F$36,TKchung!$B7,Sheet2!$C$6:$C$36,TKchung!G$3)</f>
        <v>0</v>
      </c>
      <c r="H7" s="20">
        <f>COUNTIFS(Sheet1!$F$6:$F$54,TKchung!$B7,Sheet1!$C$6:$C$54,TKchung!H$3)+COUNTIFS(Sheet2!$F$6:$F$36,TKchung!$B7,Sheet2!$C$6:$C$36,TKchung!H$3)</f>
        <v>0</v>
      </c>
      <c r="I7" s="20">
        <f>COUNTIFS(Sheet1!$F$6:$F$54,TKchung!$B7,Sheet1!$C$6:$C$54,TKchung!I$3)+COUNTIFS(Sheet2!$F$6:$F$36,TKchung!$B7,Sheet2!$C$6:$C$36,TKchung!I$3)</f>
        <v>0</v>
      </c>
      <c r="J7" s="20">
        <f>COUNTIFS(Sheet1!$F$6:$F$54,TKchung!$B7,Sheet1!$C$6:$C$54,TKchung!J$3)+COUNTIFS(Sheet2!$F$6:$F$36,TKchung!$B7,Sheet2!$C$6:$C$36,TKchung!J$3)</f>
        <v>0</v>
      </c>
      <c r="K7" s="20">
        <f>COUNTIFS(Sheet1!$F$6:$F$54,TKchung!$B7,Sheet1!$C$6:$C$54,TKchung!K$3)+COUNTIFS(Sheet2!$F$6:$F$36,TKchung!$B7,Sheet2!$C$6:$C$36,TKchung!K$3)</f>
        <v>1</v>
      </c>
      <c r="L7" s="16">
        <f t="shared" si="0"/>
        <v>1</v>
      </c>
    </row>
    <row r="8" spans="1:12" x14ac:dyDescent="0.3">
      <c r="A8" s="14">
        <v>5</v>
      </c>
      <c r="B8" s="15" t="s">
        <v>66</v>
      </c>
      <c r="C8" s="15" t="s">
        <v>67</v>
      </c>
      <c r="D8" s="26">
        <v>40</v>
      </c>
      <c r="E8" s="23">
        <f t="shared" si="1"/>
        <v>2</v>
      </c>
      <c r="F8" s="20">
        <f>COUNTIFS(Sheet1!$F$6:$F$54,TKchung!$B8,Sheet1!$C$6:$C$54,TKchung!F$3)+COUNTIFS(Sheet2!$F$6:$F$36,TKchung!$B8,Sheet2!$C$6:$C$36,TKchung!F$3)</f>
        <v>2</v>
      </c>
      <c r="G8" s="20">
        <f>COUNTIFS(Sheet1!$F$6:$F$54,TKchung!$B8,Sheet1!$C$6:$C$54,TKchung!G$3)+COUNTIFS(Sheet2!$F$6:$F$36,TKchung!$B8,Sheet2!$C$6:$C$36,TKchung!G$3)</f>
        <v>0</v>
      </c>
      <c r="H8" s="20">
        <f>COUNTIFS(Sheet1!$F$6:$F$54,TKchung!$B8,Sheet1!$C$6:$C$54,TKchung!H$3)+COUNTIFS(Sheet2!$F$6:$F$36,TKchung!$B8,Sheet2!$C$6:$C$36,TKchung!H$3)</f>
        <v>0</v>
      </c>
      <c r="I8" s="20">
        <f>COUNTIFS(Sheet1!$F$6:$F$54,TKchung!$B8,Sheet1!$C$6:$C$54,TKchung!I$3)+COUNTIFS(Sheet2!$F$6:$F$36,TKchung!$B8,Sheet2!$C$6:$C$36,TKchung!I$3)</f>
        <v>0</v>
      </c>
      <c r="J8" s="20">
        <f>COUNTIFS(Sheet1!$F$6:$F$54,TKchung!$B8,Sheet1!$C$6:$C$54,TKchung!J$3)+COUNTIFS(Sheet2!$F$6:$F$36,TKchung!$B8,Sheet2!$C$6:$C$36,TKchung!J$3)</f>
        <v>0</v>
      </c>
      <c r="K8" s="20">
        <f>COUNTIFS(Sheet1!$F$6:$F$54,TKchung!$B8,Sheet1!$C$6:$C$54,TKchung!K$3)+COUNTIFS(Sheet2!$F$6:$F$36,TKchung!$B8,Sheet2!$C$6:$C$36,TKchung!K$3)</f>
        <v>1</v>
      </c>
      <c r="L8" s="16">
        <f t="shared" si="0"/>
        <v>3</v>
      </c>
    </row>
    <row r="9" spans="1:12" x14ac:dyDescent="0.3">
      <c r="A9" s="14">
        <v>6</v>
      </c>
      <c r="B9" s="15" t="s">
        <v>72</v>
      </c>
      <c r="C9" s="15" t="s">
        <v>73</v>
      </c>
      <c r="D9" s="26">
        <v>10</v>
      </c>
      <c r="E9" s="23">
        <f t="shared" si="1"/>
        <v>1</v>
      </c>
      <c r="F9" s="20">
        <f>COUNTIFS(Sheet1!$F$6:$F$54,TKchung!$B9,Sheet1!$C$6:$C$54,TKchung!F$3)+COUNTIFS(Sheet2!$F$6:$F$36,TKchung!$B9,Sheet2!$C$6:$C$36,TKchung!F$3)</f>
        <v>0</v>
      </c>
      <c r="G9" s="20">
        <f>COUNTIFS(Sheet1!$F$6:$F$54,TKchung!$B9,Sheet1!$C$6:$C$54,TKchung!G$3)+COUNTIFS(Sheet2!$F$6:$F$36,TKchung!$B9,Sheet2!$C$6:$C$36,TKchung!G$3)</f>
        <v>1</v>
      </c>
      <c r="H9" s="20">
        <f>COUNTIFS(Sheet1!$F$6:$F$54,TKchung!$B9,Sheet1!$C$6:$C$54,TKchung!H$3)+COUNTIFS(Sheet2!$F$6:$F$36,TKchung!$B9,Sheet2!$C$6:$C$36,TKchung!H$3)</f>
        <v>0</v>
      </c>
      <c r="I9" s="20">
        <f>COUNTIFS(Sheet1!$F$6:$F$54,TKchung!$B9,Sheet1!$C$6:$C$54,TKchung!I$3)+COUNTIFS(Sheet2!$F$6:$F$36,TKchung!$B9,Sheet2!$C$6:$C$36,TKchung!I$3)</f>
        <v>0</v>
      </c>
      <c r="J9" s="20">
        <f>COUNTIFS(Sheet1!$F$6:$F$54,TKchung!$B9,Sheet1!$C$6:$C$54,TKchung!J$3)+COUNTIFS(Sheet2!$F$6:$F$36,TKchung!$B9,Sheet2!$C$6:$C$36,TKchung!J$3)</f>
        <v>0</v>
      </c>
      <c r="K9" s="20">
        <f>COUNTIFS(Sheet1!$F$6:$F$54,TKchung!$B9,Sheet1!$C$6:$C$54,TKchung!K$3)+COUNTIFS(Sheet2!$F$6:$F$36,TKchung!$B9,Sheet2!$C$6:$C$36,TKchung!K$3)</f>
        <v>0</v>
      </c>
      <c r="L9" s="16">
        <f t="shared" si="0"/>
        <v>1</v>
      </c>
    </row>
    <row r="10" spans="1:12" x14ac:dyDescent="0.3">
      <c r="A10" s="14">
        <v>7</v>
      </c>
      <c r="B10" s="15" t="s">
        <v>62</v>
      </c>
      <c r="C10" s="15" t="s">
        <v>63</v>
      </c>
      <c r="D10" s="26">
        <v>10</v>
      </c>
      <c r="E10" s="23">
        <f t="shared" si="1"/>
        <v>2</v>
      </c>
      <c r="F10" s="20">
        <f>COUNTIFS(Sheet1!$F$6:$F$54,TKchung!$B10,Sheet1!$C$6:$C$54,TKchung!F$3)+COUNTIFS(Sheet2!$F$6:$F$36,TKchung!$B10,Sheet2!$C$6:$C$36,TKchung!F$3)</f>
        <v>0</v>
      </c>
      <c r="G10" s="20">
        <f>COUNTIFS(Sheet1!$F$6:$F$54,TKchung!$B10,Sheet1!$C$6:$C$54,TKchung!G$3)+COUNTIFS(Sheet2!$F$6:$F$36,TKchung!$B10,Sheet2!$C$6:$C$36,TKchung!G$3)</f>
        <v>2</v>
      </c>
      <c r="H10" s="20">
        <f>COUNTIFS(Sheet1!$F$6:$F$54,TKchung!$B10,Sheet1!$C$6:$C$54,TKchung!H$3)+COUNTIFS(Sheet2!$F$6:$F$36,TKchung!$B10,Sheet2!$C$6:$C$36,TKchung!H$3)</f>
        <v>0</v>
      </c>
      <c r="I10" s="20">
        <f>COUNTIFS(Sheet1!$F$6:$F$54,TKchung!$B10,Sheet1!$C$6:$C$54,TKchung!I$3)+COUNTIFS(Sheet2!$F$6:$F$36,TKchung!$B10,Sheet2!$C$6:$C$36,TKchung!I$3)</f>
        <v>0</v>
      </c>
      <c r="J10" s="20">
        <f>COUNTIFS(Sheet1!$F$6:$F$54,TKchung!$B10,Sheet1!$C$6:$C$54,TKchung!J$3)+COUNTIFS(Sheet2!$F$6:$F$36,TKchung!$B10,Sheet2!$C$6:$C$36,TKchung!J$3)</f>
        <v>0</v>
      </c>
      <c r="K10" s="20">
        <f>COUNTIFS(Sheet1!$F$6:$F$54,TKchung!$B10,Sheet1!$C$6:$C$54,TKchung!K$3)+COUNTIFS(Sheet2!$F$6:$F$36,TKchung!$B10,Sheet2!$C$6:$C$36,TKchung!K$3)</f>
        <v>0</v>
      </c>
      <c r="L10" s="16">
        <f t="shared" si="0"/>
        <v>2</v>
      </c>
    </row>
    <row r="11" spans="1:12" x14ac:dyDescent="0.3">
      <c r="A11" s="14">
        <v>8</v>
      </c>
      <c r="B11" s="15" t="s">
        <v>88</v>
      </c>
      <c r="C11" s="15" t="s">
        <v>89</v>
      </c>
      <c r="D11" s="26">
        <v>10</v>
      </c>
      <c r="E11" s="23">
        <f t="shared" si="1"/>
        <v>0</v>
      </c>
      <c r="F11" s="20">
        <f>COUNTIFS(Sheet1!$F$6:$F$54,TKchung!$B11,Sheet1!$C$6:$C$54,TKchung!F$3)+COUNTIFS(Sheet2!$F$6:$F$36,TKchung!$B11,Sheet2!$C$6:$C$36,TKchung!F$3)</f>
        <v>0</v>
      </c>
      <c r="G11" s="20">
        <f>COUNTIFS(Sheet1!$F$6:$F$54,TKchung!$B11,Sheet1!$C$6:$C$54,TKchung!G$3)+COUNTIFS(Sheet2!$F$6:$F$36,TKchung!$B11,Sheet2!$C$6:$C$36,TKchung!G$3)</f>
        <v>0</v>
      </c>
      <c r="H11" s="20">
        <f>COUNTIFS(Sheet1!$F$6:$F$54,TKchung!$B11,Sheet1!$C$6:$C$54,TKchung!H$3)+COUNTIFS(Sheet2!$F$6:$F$36,TKchung!$B11,Sheet2!$C$6:$C$36,TKchung!H$3)</f>
        <v>0</v>
      </c>
      <c r="I11" s="20">
        <f>COUNTIFS(Sheet1!$F$6:$F$54,TKchung!$B11,Sheet1!$C$6:$C$54,TKchung!I$3)+COUNTIFS(Sheet2!$F$6:$F$36,TKchung!$B11,Sheet2!$C$6:$C$36,TKchung!I$3)</f>
        <v>0</v>
      </c>
      <c r="J11" s="20">
        <f>COUNTIFS(Sheet1!$F$6:$F$54,TKchung!$B11,Sheet1!$C$6:$C$54,TKchung!J$3)+COUNTIFS(Sheet2!$F$6:$F$36,TKchung!$B11,Sheet2!$C$6:$C$36,TKchung!J$3)</f>
        <v>0</v>
      </c>
      <c r="K11" s="20">
        <f>COUNTIFS(Sheet1!$F$6:$F$54,TKchung!$B11,Sheet1!$C$6:$C$54,TKchung!K$3)+COUNTIFS(Sheet2!$F$6:$F$36,TKchung!$B11,Sheet2!$C$6:$C$36,TKchung!K$3)</f>
        <v>0</v>
      </c>
      <c r="L11" s="16">
        <f t="shared" si="0"/>
        <v>0</v>
      </c>
    </row>
    <row r="12" spans="1:12" x14ac:dyDescent="0.3">
      <c r="A12" s="14">
        <v>9</v>
      </c>
      <c r="B12" s="15" t="s">
        <v>10</v>
      </c>
      <c r="C12" s="15" t="s">
        <v>11</v>
      </c>
      <c r="D12" s="26">
        <v>50</v>
      </c>
      <c r="E12" s="23">
        <f t="shared" si="1"/>
        <v>1</v>
      </c>
      <c r="F12" s="20">
        <f>COUNTIFS(Sheet1!$F$6:$F$54,TKchung!$B12,Sheet1!$C$6:$C$54,TKchung!F$3)+COUNTIFS(Sheet2!$F$6:$F$36,TKchung!$B12,Sheet2!$C$6:$C$36,TKchung!F$3)</f>
        <v>0</v>
      </c>
      <c r="G12" s="20">
        <f>COUNTIFS(Sheet1!$F$6:$F$54,TKchung!$B12,Sheet1!$C$6:$C$54,TKchung!G$3)+COUNTIFS(Sheet2!$F$6:$F$36,TKchung!$B12,Sheet2!$C$6:$C$36,TKchung!G$3)</f>
        <v>0</v>
      </c>
      <c r="H12" s="20">
        <f>COUNTIFS(Sheet1!$F$6:$F$54,TKchung!$B12,Sheet1!$C$6:$C$54,TKchung!H$3)+COUNTIFS(Sheet2!$F$6:$F$36,TKchung!$B12,Sheet2!$C$6:$C$36,TKchung!H$3)</f>
        <v>1</v>
      </c>
      <c r="I12" s="20">
        <f>COUNTIFS(Sheet1!$F$6:$F$54,TKchung!$B12,Sheet1!$C$6:$C$54,TKchung!I$3)+COUNTIFS(Sheet2!$F$6:$F$36,TKchung!$B12,Sheet2!$C$6:$C$36,TKchung!I$3)</f>
        <v>0</v>
      </c>
      <c r="J12" s="20">
        <f>COUNTIFS(Sheet1!$F$6:$F$54,TKchung!$B12,Sheet1!$C$6:$C$54,TKchung!J$3)+COUNTIFS(Sheet2!$F$6:$F$36,TKchung!$B12,Sheet2!$C$6:$C$36,TKchung!J$3)</f>
        <v>0</v>
      </c>
      <c r="K12" s="20">
        <f>COUNTIFS(Sheet1!$F$6:$F$54,TKchung!$B12,Sheet1!$C$6:$C$54,TKchung!K$3)+COUNTIFS(Sheet2!$F$6:$F$36,TKchung!$B12,Sheet2!$C$6:$C$36,TKchung!K$3)</f>
        <v>0</v>
      </c>
      <c r="L12" s="16">
        <f t="shared" si="0"/>
        <v>1</v>
      </c>
    </row>
    <row r="13" spans="1:12" x14ac:dyDescent="0.3">
      <c r="A13" s="14">
        <v>10</v>
      </c>
      <c r="B13" s="15" t="s">
        <v>34</v>
      </c>
      <c r="C13" s="15" t="s">
        <v>35</v>
      </c>
      <c r="D13" s="26">
        <v>10</v>
      </c>
      <c r="E13" s="23">
        <f t="shared" si="1"/>
        <v>2</v>
      </c>
      <c r="F13" s="20">
        <f>COUNTIFS(Sheet1!$F$6:$F$54,TKchung!$B13,Sheet1!$C$6:$C$54,TKchung!F$3)+COUNTIFS(Sheet2!$F$6:$F$36,TKchung!$B13,Sheet2!$C$6:$C$36,TKchung!F$3)</f>
        <v>0</v>
      </c>
      <c r="G13" s="20">
        <f>COUNTIFS(Sheet1!$F$6:$F$54,TKchung!$B13,Sheet1!$C$6:$C$54,TKchung!G$3)+COUNTIFS(Sheet2!$F$6:$F$36,TKchung!$B13,Sheet2!$C$6:$C$36,TKchung!G$3)</f>
        <v>0</v>
      </c>
      <c r="H13" s="20">
        <f>COUNTIFS(Sheet1!$F$6:$F$54,TKchung!$B13,Sheet1!$C$6:$C$54,TKchung!H$3)+COUNTIFS(Sheet2!$F$6:$F$36,TKchung!$B13,Sheet2!$C$6:$C$36,TKchung!H$3)</f>
        <v>2</v>
      </c>
      <c r="I13" s="20">
        <f>COUNTIFS(Sheet1!$F$6:$F$54,TKchung!$B13,Sheet1!$C$6:$C$54,TKchung!I$3)+COUNTIFS(Sheet2!$F$6:$F$36,TKchung!$B13,Sheet2!$C$6:$C$36,TKchung!I$3)</f>
        <v>0</v>
      </c>
      <c r="J13" s="20">
        <f>COUNTIFS(Sheet1!$F$6:$F$54,TKchung!$B13,Sheet1!$C$6:$C$54,TKchung!J$3)+COUNTIFS(Sheet2!$F$6:$F$36,TKchung!$B13,Sheet2!$C$6:$C$36,TKchung!J$3)</f>
        <v>0</v>
      </c>
      <c r="K13" s="20">
        <f>COUNTIFS(Sheet1!$F$6:$F$54,TKchung!$B13,Sheet1!$C$6:$C$54,TKchung!K$3)+COUNTIFS(Sheet2!$F$6:$F$36,TKchung!$B13,Sheet2!$C$6:$C$36,TKchung!K$3)</f>
        <v>2</v>
      </c>
      <c r="L13" s="16">
        <f t="shared" si="0"/>
        <v>4</v>
      </c>
    </row>
    <row r="14" spans="1:12" x14ac:dyDescent="0.3">
      <c r="A14" s="14">
        <v>11</v>
      </c>
      <c r="B14" s="15" t="s">
        <v>28</v>
      </c>
      <c r="C14" s="15" t="s">
        <v>29</v>
      </c>
      <c r="D14" s="26">
        <v>10</v>
      </c>
      <c r="E14" s="23">
        <f t="shared" si="1"/>
        <v>4</v>
      </c>
      <c r="F14" s="20">
        <f>COUNTIFS(Sheet1!$F$6:$F$54,TKchung!$B14,Sheet1!$C$6:$C$54,TKchung!F$3)+COUNTIFS(Sheet2!$F$6:$F$36,TKchung!$B14,Sheet2!$C$6:$C$36,TKchung!F$3)</f>
        <v>0</v>
      </c>
      <c r="G14" s="20">
        <f>COUNTIFS(Sheet1!$F$6:$F$54,TKchung!$B14,Sheet1!$C$6:$C$54,TKchung!G$3)+COUNTIFS(Sheet2!$F$6:$F$36,TKchung!$B14,Sheet2!$C$6:$C$36,TKchung!G$3)</f>
        <v>1</v>
      </c>
      <c r="H14" s="20">
        <f>COUNTIFS(Sheet1!$F$6:$F$54,TKchung!$B14,Sheet1!$C$6:$C$54,TKchung!H$3)+COUNTIFS(Sheet2!$F$6:$F$36,TKchung!$B14,Sheet2!$C$6:$C$36,TKchung!H$3)</f>
        <v>1</v>
      </c>
      <c r="I14" s="20">
        <f>COUNTIFS(Sheet1!$F$6:$F$54,TKchung!$B14,Sheet1!$C$6:$C$54,TKchung!I$3)+COUNTIFS(Sheet2!$F$6:$F$36,TKchung!$B14,Sheet2!$C$6:$C$36,TKchung!I$3)</f>
        <v>2</v>
      </c>
      <c r="J14" s="20">
        <f>COUNTIFS(Sheet1!$F$6:$F$54,TKchung!$B14,Sheet1!$C$6:$C$54,TKchung!J$3)+COUNTIFS(Sheet2!$F$6:$F$36,TKchung!$B14,Sheet2!$C$6:$C$36,TKchung!J$3)</f>
        <v>0</v>
      </c>
      <c r="K14" s="20">
        <f>COUNTIFS(Sheet1!$F$6:$F$54,TKchung!$B14,Sheet1!$C$6:$C$54,TKchung!K$3)+COUNTIFS(Sheet2!$F$6:$F$36,TKchung!$B14,Sheet2!$C$6:$C$36,TKchung!K$3)</f>
        <v>1</v>
      </c>
      <c r="L14" s="16">
        <f t="shared" si="0"/>
        <v>5</v>
      </c>
    </row>
    <row r="15" spans="1:12" x14ac:dyDescent="0.3">
      <c r="A15" s="14">
        <v>12</v>
      </c>
      <c r="B15" s="15" t="s">
        <v>86</v>
      </c>
      <c r="C15" s="15" t="s">
        <v>87</v>
      </c>
      <c r="D15" s="26">
        <v>75</v>
      </c>
      <c r="E15" s="23">
        <f t="shared" si="1"/>
        <v>0</v>
      </c>
      <c r="F15" s="20">
        <f>COUNTIFS(Sheet1!$F$6:$F$54,TKchung!$B15,Sheet1!$C$6:$C$54,TKchung!F$3)+COUNTIFS(Sheet2!$F$6:$F$36,TKchung!$B15,Sheet2!$C$6:$C$36,TKchung!F$3)</f>
        <v>0</v>
      </c>
      <c r="G15" s="20">
        <f>COUNTIFS(Sheet1!$F$6:$F$54,TKchung!$B15,Sheet1!$C$6:$C$54,TKchung!G$3)+COUNTIFS(Sheet2!$F$6:$F$36,TKchung!$B15,Sheet2!$C$6:$C$36,TKchung!G$3)</f>
        <v>0</v>
      </c>
      <c r="H15" s="20">
        <f>COUNTIFS(Sheet1!$F$6:$F$54,TKchung!$B15,Sheet1!$C$6:$C$54,TKchung!H$3)+COUNTIFS(Sheet2!$F$6:$F$36,TKchung!$B15,Sheet2!$C$6:$C$36,TKchung!H$3)</f>
        <v>0</v>
      </c>
      <c r="I15" s="20">
        <f>COUNTIFS(Sheet1!$F$6:$F$54,TKchung!$B15,Sheet1!$C$6:$C$54,TKchung!I$3)+COUNTIFS(Sheet2!$F$6:$F$36,TKchung!$B15,Sheet2!$C$6:$C$36,TKchung!I$3)</f>
        <v>0</v>
      </c>
      <c r="J15" s="20">
        <f>COUNTIFS(Sheet1!$F$6:$F$54,TKchung!$B15,Sheet1!$C$6:$C$54,TKchung!J$3)+COUNTIFS(Sheet2!$F$6:$F$36,TKchung!$B15,Sheet2!$C$6:$C$36,TKchung!J$3)</f>
        <v>0</v>
      </c>
      <c r="K15" s="20">
        <f>COUNTIFS(Sheet1!$F$6:$F$54,TKchung!$B15,Sheet1!$C$6:$C$54,TKchung!K$3)+COUNTIFS(Sheet2!$F$6:$F$36,TKchung!$B15,Sheet2!$C$6:$C$36,TKchung!K$3)</f>
        <v>0</v>
      </c>
      <c r="L15" s="16">
        <f t="shared" si="0"/>
        <v>0</v>
      </c>
    </row>
    <row r="16" spans="1:12" x14ac:dyDescent="0.3">
      <c r="A16" s="14">
        <v>13</v>
      </c>
      <c r="B16" s="15" t="s">
        <v>12</v>
      </c>
      <c r="C16" s="15" t="s">
        <v>13</v>
      </c>
      <c r="D16" s="26">
        <v>75</v>
      </c>
      <c r="E16" s="23">
        <f t="shared" si="1"/>
        <v>1</v>
      </c>
      <c r="F16" s="20">
        <f>COUNTIFS(Sheet1!$F$6:$F$54,TKchung!$B16,Sheet1!$C$6:$C$54,TKchung!F$3)+COUNTIFS(Sheet2!$F$6:$F$36,TKchung!$B16,Sheet2!$C$6:$C$36,TKchung!F$3)</f>
        <v>1</v>
      </c>
      <c r="G16" s="20">
        <f>COUNTIFS(Sheet1!$F$6:$F$54,TKchung!$B16,Sheet1!$C$6:$C$54,TKchung!G$3)+COUNTIFS(Sheet2!$F$6:$F$36,TKchung!$B16,Sheet2!$C$6:$C$36,TKchung!G$3)</f>
        <v>0</v>
      </c>
      <c r="H16" s="20">
        <f>COUNTIFS(Sheet1!$F$6:$F$54,TKchung!$B16,Sheet1!$C$6:$C$54,TKchung!H$3)+COUNTIFS(Sheet2!$F$6:$F$36,TKchung!$B16,Sheet2!$C$6:$C$36,TKchung!H$3)</f>
        <v>0</v>
      </c>
      <c r="I16" s="20">
        <f>COUNTIFS(Sheet1!$F$6:$F$54,TKchung!$B16,Sheet1!$C$6:$C$54,TKchung!I$3)+COUNTIFS(Sheet2!$F$6:$F$36,TKchung!$B16,Sheet2!$C$6:$C$36,TKchung!I$3)</f>
        <v>0</v>
      </c>
      <c r="J16" s="20">
        <f>COUNTIFS(Sheet1!$F$6:$F$54,TKchung!$B16,Sheet1!$C$6:$C$54,TKchung!J$3)+COUNTIFS(Sheet2!$F$6:$F$36,TKchung!$B16,Sheet2!$C$6:$C$36,TKchung!J$3)</f>
        <v>0</v>
      </c>
      <c r="K16" s="20">
        <f>COUNTIFS(Sheet1!$F$6:$F$54,TKchung!$B16,Sheet1!$C$6:$C$54,TKchung!K$3)+COUNTIFS(Sheet2!$F$6:$F$36,TKchung!$B16,Sheet2!$C$6:$C$36,TKchung!K$3)</f>
        <v>0</v>
      </c>
      <c r="L16" s="16">
        <f t="shared" si="0"/>
        <v>1</v>
      </c>
    </row>
    <row r="17" spans="1:12" x14ac:dyDescent="0.3">
      <c r="A17" s="14">
        <v>14</v>
      </c>
      <c r="B17" s="15" t="s">
        <v>60</v>
      </c>
      <c r="C17" s="15" t="s">
        <v>61</v>
      </c>
      <c r="D17" s="26">
        <v>120</v>
      </c>
      <c r="E17" s="23">
        <f t="shared" si="1"/>
        <v>1</v>
      </c>
      <c r="F17" s="20">
        <f>COUNTIFS(Sheet1!$F$6:$F$54,TKchung!$B17,Sheet1!$C$6:$C$54,TKchung!F$3)+COUNTIFS(Sheet2!$F$6:$F$36,TKchung!$B17,Sheet2!$C$6:$C$36,TKchung!F$3)</f>
        <v>1</v>
      </c>
      <c r="G17" s="20">
        <f>COUNTIFS(Sheet1!$F$6:$F$54,TKchung!$B17,Sheet1!$C$6:$C$54,TKchung!G$3)+COUNTIFS(Sheet2!$F$6:$F$36,TKchung!$B17,Sheet2!$C$6:$C$36,TKchung!G$3)</f>
        <v>0</v>
      </c>
      <c r="H17" s="20">
        <f>COUNTIFS(Sheet1!$F$6:$F$54,TKchung!$B17,Sheet1!$C$6:$C$54,TKchung!H$3)+COUNTIFS(Sheet2!$F$6:$F$36,TKchung!$B17,Sheet2!$C$6:$C$36,TKchung!H$3)</f>
        <v>0</v>
      </c>
      <c r="I17" s="20">
        <f>COUNTIFS(Sheet1!$F$6:$F$54,TKchung!$B17,Sheet1!$C$6:$C$54,TKchung!I$3)+COUNTIFS(Sheet2!$F$6:$F$36,TKchung!$B17,Sheet2!$C$6:$C$36,TKchung!I$3)</f>
        <v>0</v>
      </c>
      <c r="J17" s="20">
        <f>COUNTIFS(Sheet1!$F$6:$F$54,TKchung!$B17,Sheet1!$C$6:$C$54,TKchung!J$3)+COUNTIFS(Sheet2!$F$6:$F$36,TKchung!$B17,Sheet2!$C$6:$C$36,TKchung!J$3)</f>
        <v>0</v>
      </c>
      <c r="K17" s="20">
        <f>COUNTIFS(Sheet1!$F$6:$F$54,TKchung!$B17,Sheet1!$C$6:$C$54,TKchung!K$3)+COUNTIFS(Sheet2!$F$6:$F$36,TKchung!$B17,Sheet2!$C$6:$C$36,TKchung!K$3)</f>
        <v>1</v>
      </c>
      <c r="L17" s="16">
        <f t="shared" si="0"/>
        <v>2</v>
      </c>
    </row>
    <row r="18" spans="1:12" x14ac:dyDescent="0.3">
      <c r="A18" s="14">
        <v>15</v>
      </c>
      <c r="B18" s="15" t="s">
        <v>64</v>
      </c>
      <c r="C18" s="15" t="s">
        <v>65</v>
      </c>
      <c r="D18" s="26">
        <v>60</v>
      </c>
      <c r="E18" s="23">
        <f t="shared" si="1"/>
        <v>0</v>
      </c>
      <c r="F18" s="20">
        <f>COUNTIFS(Sheet1!$F$6:$F$54,TKchung!$B18,Sheet1!$C$6:$C$54,TKchung!F$3)+COUNTIFS(Sheet2!$F$6:$F$36,TKchung!$B18,Sheet2!$C$6:$C$36,TKchung!F$3)</f>
        <v>0</v>
      </c>
      <c r="G18" s="20">
        <f>COUNTIFS(Sheet1!$F$6:$F$54,TKchung!$B18,Sheet1!$C$6:$C$54,TKchung!G$3)+COUNTIFS(Sheet2!$F$6:$F$36,TKchung!$B18,Sheet2!$C$6:$C$36,TKchung!G$3)</f>
        <v>0</v>
      </c>
      <c r="H18" s="20">
        <f>COUNTIFS(Sheet1!$F$6:$F$54,TKchung!$B18,Sheet1!$C$6:$C$54,TKchung!H$3)+COUNTIFS(Sheet2!$F$6:$F$36,TKchung!$B18,Sheet2!$C$6:$C$36,TKchung!H$3)</f>
        <v>0</v>
      </c>
      <c r="I18" s="20">
        <f>COUNTIFS(Sheet1!$F$6:$F$54,TKchung!$B18,Sheet1!$C$6:$C$54,TKchung!I$3)+COUNTIFS(Sheet2!$F$6:$F$36,TKchung!$B18,Sheet2!$C$6:$C$36,TKchung!I$3)</f>
        <v>0</v>
      </c>
      <c r="J18" s="20">
        <f>COUNTIFS(Sheet1!$F$6:$F$54,TKchung!$B18,Sheet1!$C$6:$C$54,TKchung!J$3)+COUNTIFS(Sheet2!$F$6:$F$36,TKchung!$B18,Sheet2!$C$6:$C$36,TKchung!J$3)</f>
        <v>0</v>
      </c>
      <c r="K18" s="20">
        <f>COUNTIFS(Sheet1!$F$6:$F$54,TKchung!$B18,Sheet1!$C$6:$C$54,TKchung!K$3)+COUNTIFS(Sheet2!$F$6:$F$36,TKchung!$B18,Sheet2!$C$6:$C$36,TKchung!K$3)</f>
        <v>2</v>
      </c>
      <c r="L18" s="16">
        <f t="shared" si="0"/>
        <v>2</v>
      </c>
    </row>
    <row r="19" spans="1:12" x14ac:dyDescent="0.3">
      <c r="A19" s="14">
        <v>16</v>
      </c>
      <c r="B19" s="15" t="s">
        <v>30</v>
      </c>
      <c r="C19" s="15" t="s">
        <v>31</v>
      </c>
      <c r="D19" s="26">
        <v>40</v>
      </c>
      <c r="E19" s="23">
        <f t="shared" si="1"/>
        <v>4</v>
      </c>
      <c r="F19" s="20">
        <f>COUNTIFS(Sheet1!$F$6:$F$54,TKchung!$B19,Sheet1!$C$6:$C$54,TKchung!F$3)+COUNTIFS(Sheet2!$F$6:$F$36,TKchung!$B19,Sheet2!$C$6:$C$36,TKchung!F$3)</f>
        <v>0</v>
      </c>
      <c r="G19" s="20">
        <f>COUNTIFS(Sheet1!$F$6:$F$54,TKchung!$B19,Sheet1!$C$6:$C$54,TKchung!G$3)+COUNTIFS(Sheet2!$F$6:$F$36,TKchung!$B19,Sheet2!$C$6:$C$36,TKchung!G$3)</f>
        <v>1</v>
      </c>
      <c r="H19" s="20">
        <f>COUNTIFS(Sheet1!$F$6:$F$54,TKchung!$B19,Sheet1!$C$6:$C$54,TKchung!H$3)+COUNTIFS(Sheet2!$F$6:$F$36,TKchung!$B19,Sheet2!$C$6:$C$36,TKchung!H$3)</f>
        <v>1</v>
      </c>
      <c r="I19" s="20">
        <f>COUNTIFS(Sheet1!$F$6:$F$54,TKchung!$B19,Sheet1!$C$6:$C$54,TKchung!I$3)+COUNTIFS(Sheet2!$F$6:$F$36,TKchung!$B19,Sheet2!$C$6:$C$36,TKchung!I$3)</f>
        <v>1</v>
      </c>
      <c r="J19" s="20">
        <f>COUNTIFS(Sheet1!$F$6:$F$54,TKchung!$B19,Sheet1!$C$6:$C$54,TKchung!J$3)+COUNTIFS(Sheet2!$F$6:$F$36,TKchung!$B19,Sheet2!$C$6:$C$36,TKchung!J$3)</f>
        <v>1</v>
      </c>
      <c r="K19" s="20">
        <f>COUNTIFS(Sheet1!$F$6:$F$54,TKchung!$B19,Sheet1!$C$6:$C$54,TKchung!K$3)+COUNTIFS(Sheet2!$F$6:$F$36,TKchung!$B19,Sheet2!$C$6:$C$36,TKchung!K$3)</f>
        <v>2</v>
      </c>
      <c r="L19" s="16">
        <f t="shared" si="0"/>
        <v>6</v>
      </c>
    </row>
    <row r="20" spans="1:12" x14ac:dyDescent="0.3">
      <c r="A20" s="14">
        <v>17</v>
      </c>
      <c r="B20" s="15" t="s">
        <v>14</v>
      </c>
      <c r="C20" s="15" t="s">
        <v>15</v>
      </c>
      <c r="D20" s="26">
        <v>260</v>
      </c>
      <c r="E20" s="23">
        <f t="shared" si="1"/>
        <v>2</v>
      </c>
      <c r="F20" s="20">
        <f>COUNTIFS(Sheet1!$F$6:$F$54,TKchung!$B20,Sheet1!$C$6:$C$54,TKchung!F$3)+COUNTIFS(Sheet2!$F$6:$F$36,TKchung!$B20,Sheet2!$C$6:$C$36,TKchung!F$3)</f>
        <v>1</v>
      </c>
      <c r="G20" s="20">
        <f>COUNTIFS(Sheet1!$F$6:$F$54,TKchung!$B20,Sheet1!$C$6:$C$54,TKchung!G$3)+COUNTIFS(Sheet2!$F$6:$F$36,TKchung!$B20,Sheet2!$C$6:$C$36,TKchung!G$3)</f>
        <v>0</v>
      </c>
      <c r="H20" s="20">
        <f>COUNTIFS(Sheet1!$F$6:$F$54,TKchung!$B20,Sheet1!$C$6:$C$54,TKchung!H$3)+COUNTIFS(Sheet2!$F$6:$F$36,TKchung!$B20,Sheet2!$C$6:$C$36,TKchung!H$3)</f>
        <v>0</v>
      </c>
      <c r="I20" s="20">
        <f>COUNTIFS(Sheet1!$F$6:$F$54,TKchung!$B20,Sheet1!$C$6:$C$54,TKchung!I$3)+COUNTIFS(Sheet2!$F$6:$F$36,TKchung!$B20,Sheet2!$C$6:$C$36,TKchung!I$3)</f>
        <v>1</v>
      </c>
      <c r="J20" s="20">
        <f>COUNTIFS(Sheet1!$F$6:$F$54,TKchung!$B20,Sheet1!$C$6:$C$54,TKchung!J$3)+COUNTIFS(Sheet2!$F$6:$F$36,TKchung!$B20,Sheet2!$C$6:$C$36,TKchung!J$3)</f>
        <v>0</v>
      </c>
      <c r="K20" s="20">
        <f>COUNTIFS(Sheet1!$F$6:$F$54,TKchung!$B20,Sheet1!$C$6:$C$54,TKchung!K$3)+COUNTIFS(Sheet2!$F$6:$F$36,TKchung!$B20,Sheet2!$C$6:$C$36,TKchung!K$3)</f>
        <v>2</v>
      </c>
      <c r="L20" s="16">
        <f t="shared" si="0"/>
        <v>4</v>
      </c>
    </row>
    <row r="21" spans="1:12" x14ac:dyDescent="0.3">
      <c r="A21" s="14">
        <v>18</v>
      </c>
      <c r="B21" s="15" t="s">
        <v>16</v>
      </c>
      <c r="C21" s="15" t="s">
        <v>17</v>
      </c>
      <c r="D21" s="26">
        <v>100</v>
      </c>
      <c r="E21" s="23">
        <f t="shared" si="1"/>
        <v>1</v>
      </c>
      <c r="F21" s="27">
        <f>COUNTIFS(Sheet1!$F$6:$F$54,TKchung!$B21,Sheet1!$C$6:$C$54,TKchung!F$3)+COUNTIFS(Sheet2!$F$6:$F$36,TKchung!$B21,Sheet2!$C$6:$C$36,TKchung!F$3)</f>
        <v>0</v>
      </c>
      <c r="G21" s="20">
        <f>COUNTIFS(Sheet1!$F$6:$F$54,TKchung!$B21,Sheet1!$C$6:$C$54,TKchung!G$3)+COUNTIFS(Sheet2!$F$6:$F$36,TKchung!$B21,Sheet2!$C$6:$C$36,TKchung!G$3)</f>
        <v>1</v>
      </c>
      <c r="H21" s="20">
        <f>COUNTIFS(Sheet1!$F$6:$F$54,TKchung!$B21,Sheet1!$C$6:$C$54,TKchung!H$3)+COUNTIFS(Sheet2!$F$6:$F$36,TKchung!$B21,Sheet2!$C$6:$C$36,TKchung!H$3)</f>
        <v>0</v>
      </c>
      <c r="I21" s="20">
        <f>COUNTIFS(Sheet1!$F$6:$F$54,TKchung!$B21,Sheet1!$C$6:$C$54,TKchung!I$3)+COUNTIFS(Sheet2!$F$6:$F$36,TKchung!$B21,Sheet2!$C$6:$C$36,TKchung!I$3)</f>
        <v>0</v>
      </c>
      <c r="J21" s="20">
        <f>COUNTIFS(Sheet1!$F$6:$F$54,TKchung!$B21,Sheet1!$C$6:$C$54,TKchung!J$3)+COUNTIFS(Sheet2!$F$6:$F$36,TKchung!$B21,Sheet2!$C$6:$C$36,TKchung!J$3)</f>
        <v>0</v>
      </c>
      <c r="K21" s="20">
        <f>COUNTIFS(Sheet1!$F$6:$F$54,TKchung!$B21,Sheet1!$C$6:$C$54,TKchung!K$3)+COUNTIFS(Sheet2!$F$6:$F$36,TKchung!$B21,Sheet2!$C$6:$C$36,TKchung!K$3)</f>
        <v>0</v>
      </c>
      <c r="L21" s="16">
        <f t="shared" si="0"/>
        <v>1</v>
      </c>
    </row>
    <row r="22" spans="1:12" x14ac:dyDescent="0.3">
      <c r="A22" s="14">
        <v>19</v>
      </c>
      <c r="B22" s="15" t="s">
        <v>80</v>
      </c>
      <c r="C22" s="15" t="s">
        <v>81</v>
      </c>
      <c r="D22" s="26">
        <v>30</v>
      </c>
      <c r="E22" s="23">
        <f t="shared" si="1"/>
        <v>0</v>
      </c>
      <c r="F22" s="20">
        <f>COUNTIFS(Sheet1!$F$6:$F$54,TKchung!$B22,Sheet1!$C$6:$C$54,TKchung!F$3)+COUNTIFS(Sheet2!$F$6:$F$36,TKchung!$B22,Sheet2!$C$6:$C$36,TKchung!F$3)</f>
        <v>0</v>
      </c>
      <c r="G22" s="20">
        <f>COUNTIFS(Sheet1!$F$6:$F$54,TKchung!$B22,Sheet1!$C$6:$C$54,TKchung!G$3)+COUNTIFS(Sheet2!$F$6:$F$36,TKchung!$B22,Sheet2!$C$6:$C$36,TKchung!G$3)</f>
        <v>0</v>
      </c>
      <c r="H22" s="20">
        <f>COUNTIFS(Sheet1!$F$6:$F$54,TKchung!$B22,Sheet1!$C$6:$C$54,TKchung!H$3)+COUNTIFS(Sheet2!$F$6:$F$36,TKchung!$B22,Sheet2!$C$6:$C$36,TKchung!H$3)</f>
        <v>0</v>
      </c>
      <c r="I22" s="20">
        <f>COUNTIFS(Sheet1!$F$6:$F$54,TKchung!$B22,Sheet1!$C$6:$C$54,TKchung!I$3)+COUNTIFS(Sheet2!$F$6:$F$36,TKchung!$B22,Sheet2!$C$6:$C$36,TKchung!I$3)</f>
        <v>0</v>
      </c>
      <c r="J22" s="20">
        <f>COUNTIFS(Sheet1!$F$6:$F$54,TKchung!$B22,Sheet1!$C$6:$C$54,TKchung!J$3)+COUNTIFS(Sheet2!$F$6:$F$36,TKchung!$B22,Sheet2!$C$6:$C$36,TKchung!J$3)</f>
        <v>0</v>
      </c>
      <c r="K22" s="20">
        <f>COUNTIFS(Sheet1!$F$6:$F$54,TKchung!$B22,Sheet1!$C$6:$C$54,TKchung!K$3)+COUNTIFS(Sheet2!$F$6:$F$36,TKchung!$B22,Sheet2!$C$6:$C$36,TKchung!K$3)</f>
        <v>1</v>
      </c>
      <c r="L22" s="16">
        <f t="shared" si="0"/>
        <v>1</v>
      </c>
    </row>
    <row r="23" spans="1:12" x14ac:dyDescent="0.3">
      <c r="A23" s="14">
        <v>20</v>
      </c>
      <c r="B23" s="15" t="s">
        <v>36</v>
      </c>
      <c r="C23" s="15" t="s">
        <v>37</v>
      </c>
      <c r="D23" s="26">
        <v>100</v>
      </c>
      <c r="E23" s="23">
        <f t="shared" si="1"/>
        <v>4</v>
      </c>
      <c r="F23" s="20">
        <f>COUNTIFS(Sheet1!$F$6:$F$54,TKchung!$B23,Sheet1!$C$6:$C$54,TKchung!F$3)+COUNTIFS(Sheet2!$F$6:$F$36,TKchung!$B23,Sheet2!$C$6:$C$36,TKchung!F$3)</f>
        <v>0</v>
      </c>
      <c r="G23" s="20">
        <f>COUNTIFS(Sheet1!$F$6:$F$54,TKchung!$B23,Sheet1!$C$6:$C$54,TKchung!G$3)+COUNTIFS(Sheet2!$F$6:$F$36,TKchung!$B23,Sheet2!$C$6:$C$36,TKchung!G$3)</f>
        <v>1</v>
      </c>
      <c r="H23" s="20">
        <f>COUNTIFS(Sheet1!$F$6:$F$54,TKchung!$B23,Sheet1!$C$6:$C$54,TKchung!H$3)+COUNTIFS(Sheet2!$F$6:$F$36,TKchung!$B23,Sheet2!$C$6:$C$36,TKchung!H$3)</f>
        <v>0</v>
      </c>
      <c r="I23" s="20">
        <f>COUNTIFS(Sheet1!$F$6:$F$54,TKchung!$B23,Sheet1!$C$6:$C$54,TKchung!I$3)+COUNTIFS(Sheet2!$F$6:$F$36,TKchung!$B23,Sheet2!$C$6:$C$36,TKchung!I$3)</f>
        <v>3</v>
      </c>
      <c r="J23" s="20">
        <f>COUNTIFS(Sheet1!$F$6:$F$54,TKchung!$B23,Sheet1!$C$6:$C$54,TKchung!J$3)+COUNTIFS(Sheet2!$F$6:$F$36,TKchung!$B23,Sheet2!$C$6:$C$36,TKchung!J$3)</f>
        <v>0</v>
      </c>
      <c r="K23" s="20">
        <f>COUNTIFS(Sheet1!$F$6:$F$54,TKchung!$B23,Sheet1!$C$6:$C$54,TKchung!K$3)+COUNTIFS(Sheet2!$F$6:$F$36,TKchung!$B23,Sheet2!$C$6:$C$36,TKchung!K$3)</f>
        <v>1</v>
      </c>
      <c r="L23" s="16">
        <f t="shared" si="0"/>
        <v>5</v>
      </c>
    </row>
    <row r="24" spans="1:12" x14ac:dyDescent="0.3">
      <c r="A24" s="14">
        <v>21</v>
      </c>
      <c r="B24" s="15" t="s">
        <v>32</v>
      </c>
      <c r="C24" s="15" t="s">
        <v>33</v>
      </c>
      <c r="D24" s="26">
        <v>30</v>
      </c>
      <c r="E24" s="23">
        <f t="shared" si="1"/>
        <v>0</v>
      </c>
      <c r="F24" s="20">
        <f>COUNTIFS(Sheet1!$F$6:$F$54,TKchung!$B24,Sheet1!$C$6:$C$54,TKchung!F$3)+COUNTIFS(Sheet2!$F$6:$F$36,TKchung!$B24,Sheet2!$C$6:$C$36,TKchung!F$3)</f>
        <v>0</v>
      </c>
      <c r="G24" s="20">
        <f>COUNTIFS(Sheet1!$F$6:$F$54,TKchung!$B24,Sheet1!$C$6:$C$54,TKchung!G$3)+COUNTIFS(Sheet2!$F$6:$F$36,TKchung!$B24,Sheet2!$C$6:$C$36,TKchung!G$3)</f>
        <v>0</v>
      </c>
      <c r="H24" s="20">
        <f>COUNTIFS(Sheet1!$F$6:$F$54,TKchung!$B24,Sheet1!$C$6:$C$54,TKchung!H$3)+COUNTIFS(Sheet2!$F$6:$F$36,TKchung!$B24,Sheet2!$C$6:$C$36,TKchung!H$3)</f>
        <v>0</v>
      </c>
      <c r="I24" s="20">
        <f>COUNTIFS(Sheet1!$F$6:$F$54,TKchung!$B24,Sheet1!$C$6:$C$54,TKchung!I$3)+COUNTIFS(Sheet2!$F$6:$F$36,TKchung!$B24,Sheet2!$C$6:$C$36,TKchung!I$3)</f>
        <v>0</v>
      </c>
      <c r="J24" s="20">
        <f>COUNTIFS(Sheet1!$F$6:$F$54,TKchung!$B24,Sheet1!$C$6:$C$54,TKchung!J$3)+COUNTIFS(Sheet2!$F$6:$F$36,TKchung!$B24,Sheet2!$C$6:$C$36,TKchung!J$3)</f>
        <v>0</v>
      </c>
      <c r="K24" s="20">
        <f>COUNTIFS(Sheet1!$F$6:$F$54,TKchung!$B24,Sheet1!$C$6:$C$54,TKchung!K$3)+COUNTIFS(Sheet2!$F$6:$F$36,TKchung!$B24,Sheet2!$C$6:$C$36,TKchung!K$3)</f>
        <v>1</v>
      </c>
      <c r="L24" s="16">
        <f t="shared" si="0"/>
        <v>1</v>
      </c>
    </row>
    <row r="25" spans="1:12" x14ac:dyDescent="0.3">
      <c r="A25" s="14">
        <v>22</v>
      </c>
      <c r="B25" s="15" t="s">
        <v>46</v>
      </c>
      <c r="C25" s="15" t="s">
        <v>47</v>
      </c>
      <c r="D25" s="26">
        <v>80</v>
      </c>
      <c r="E25" s="23">
        <f t="shared" si="1"/>
        <v>0</v>
      </c>
      <c r="F25" s="27">
        <f>COUNTIFS(Sheet1!$F$6:$F$54,TKchung!$B25,Sheet1!$C$6:$C$54,TKchung!F$3)+COUNTIFS(Sheet2!$F$6:$F$36,TKchung!$B25,Sheet2!$C$6:$C$36,TKchung!F$3)</f>
        <v>0</v>
      </c>
      <c r="G25" s="20">
        <f>COUNTIFS(Sheet1!$F$6:$F$54,TKchung!$B25,Sheet1!$C$6:$C$54,TKchung!G$3)+COUNTIFS(Sheet2!$F$6:$F$36,TKchung!$B25,Sheet2!$C$6:$C$36,TKchung!G$3)</f>
        <v>0</v>
      </c>
      <c r="H25" s="20">
        <f>COUNTIFS(Sheet1!$F$6:$F$54,TKchung!$B25,Sheet1!$C$6:$C$54,TKchung!H$3)+COUNTIFS(Sheet2!$F$6:$F$36,TKchung!$B25,Sheet2!$C$6:$C$36,TKchung!H$3)</f>
        <v>0</v>
      </c>
      <c r="I25" s="20">
        <f>COUNTIFS(Sheet1!$F$6:$F$54,TKchung!$B25,Sheet1!$C$6:$C$54,TKchung!I$3)+COUNTIFS(Sheet2!$F$6:$F$36,TKchung!$B25,Sheet2!$C$6:$C$36,TKchung!I$3)</f>
        <v>0</v>
      </c>
      <c r="J25" s="20">
        <f>COUNTIFS(Sheet1!$F$6:$F$54,TKchung!$B25,Sheet1!$C$6:$C$54,TKchung!J$3)+COUNTIFS(Sheet2!$F$6:$F$36,TKchung!$B25,Sheet2!$C$6:$C$36,TKchung!J$3)</f>
        <v>0</v>
      </c>
      <c r="K25" s="20">
        <f>COUNTIFS(Sheet1!$F$6:$F$54,TKchung!$B25,Sheet1!$C$6:$C$54,TKchung!K$3)+COUNTIFS(Sheet2!$F$6:$F$36,TKchung!$B25,Sheet2!$C$6:$C$36,TKchung!K$3)</f>
        <v>1</v>
      </c>
      <c r="L25" s="16">
        <f t="shared" si="0"/>
        <v>1</v>
      </c>
    </row>
    <row r="26" spans="1:12" x14ac:dyDescent="0.3">
      <c r="A26" s="14">
        <v>23</v>
      </c>
      <c r="B26" s="15" t="s">
        <v>70</v>
      </c>
      <c r="C26" s="15" t="s">
        <v>71</v>
      </c>
      <c r="D26" s="26">
        <v>140</v>
      </c>
      <c r="E26" s="23">
        <f t="shared" si="1"/>
        <v>0</v>
      </c>
      <c r="F26" s="27">
        <f>COUNTIFS(Sheet1!$F$6:$F$54,TKchung!$B26,Sheet1!$C$6:$C$54,TKchung!F$3)+COUNTIFS(Sheet2!$F$6:$F$36,TKchung!$B26,Sheet2!$C$6:$C$36,TKchung!F$3)</f>
        <v>0</v>
      </c>
      <c r="G26" s="20">
        <f>COUNTIFS(Sheet1!$F$6:$F$54,TKchung!$B26,Sheet1!$C$6:$C$54,TKchung!G$3)+COUNTIFS(Sheet2!$F$6:$F$36,TKchung!$B26,Sheet2!$C$6:$C$36,TKchung!G$3)</f>
        <v>0</v>
      </c>
      <c r="H26" s="20">
        <f>COUNTIFS(Sheet1!$F$6:$F$54,TKchung!$B26,Sheet1!$C$6:$C$54,TKchung!H$3)+COUNTIFS(Sheet2!$F$6:$F$36,TKchung!$B26,Sheet2!$C$6:$C$36,TKchung!H$3)</f>
        <v>0</v>
      </c>
      <c r="I26" s="20">
        <f>COUNTIFS(Sheet1!$F$6:$F$54,TKchung!$B26,Sheet1!$C$6:$C$54,TKchung!I$3)+COUNTIFS(Sheet2!$F$6:$F$36,TKchung!$B26,Sheet2!$C$6:$C$36,TKchung!I$3)</f>
        <v>0</v>
      </c>
      <c r="J26" s="20">
        <f>COUNTIFS(Sheet1!$F$6:$F$54,TKchung!$B26,Sheet1!$C$6:$C$54,TKchung!J$3)+COUNTIFS(Sheet2!$F$6:$F$36,TKchung!$B26,Sheet2!$C$6:$C$36,TKchung!J$3)</f>
        <v>0</v>
      </c>
      <c r="K26" s="20">
        <f>COUNTIFS(Sheet1!$F$6:$F$54,TKchung!$B26,Sheet1!$C$6:$C$54,TKchung!K$3)+COUNTIFS(Sheet2!$F$6:$F$36,TKchung!$B26,Sheet2!$C$6:$C$36,TKchung!K$3)</f>
        <v>1</v>
      </c>
      <c r="L26" s="16">
        <f t="shared" si="0"/>
        <v>1</v>
      </c>
    </row>
    <row r="27" spans="1:12" x14ac:dyDescent="0.3">
      <c r="A27" s="14">
        <v>24</v>
      </c>
      <c r="B27" s="15" t="s">
        <v>82</v>
      </c>
      <c r="C27" s="15" t="s">
        <v>83</v>
      </c>
      <c r="D27" s="26">
        <v>30</v>
      </c>
      <c r="E27" s="23">
        <f t="shared" si="1"/>
        <v>0</v>
      </c>
      <c r="F27" s="20">
        <f>COUNTIFS(Sheet1!$F$6:$F$54,TKchung!$B27,Sheet1!$C$6:$C$54,TKchung!F$3)+COUNTIFS(Sheet2!$F$6:$F$36,TKchung!$B27,Sheet2!$C$6:$C$36,TKchung!F$3)</f>
        <v>0</v>
      </c>
      <c r="G27" s="20">
        <f>COUNTIFS(Sheet1!$F$6:$F$54,TKchung!$B27,Sheet1!$C$6:$C$54,TKchung!G$3)+COUNTIFS(Sheet2!$F$6:$F$36,TKchung!$B27,Sheet2!$C$6:$C$36,TKchung!G$3)</f>
        <v>0</v>
      </c>
      <c r="H27" s="20">
        <f>COUNTIFS(Sheet1!$F$6:$F$54,TKchung!$B27,Sheet1!$C$6:$C$54,TKchung!H$3)+COUNTIFS(Sheet2!$F$6:$F$36,TKchung!$B27,Sheet2!$C$6:$C$36,TKchung!H$3)</f>
        <v>0</v>
      </c>
      <c r="I27" s="20">
        <f>COUNTIFS(Sheet1!$F$6:$F$54,TKchung!$B27,Sheet1!$C$6:$C$54,TKchung!I$3)+COUNTIFS(Sheet2!$F$6:$F$36,TKchung!$B27,Sheet2!$C$6:$C$36,TKchung!I$3)</f>
        <v>0</v>
      </c>
      <c r="J27" s="20">
        <f>COUNTIFS(Sheet1!$F$6:$F$54,TKchung!$B27,Sheet1!$C$6:$C$54,TKchung!J$3)+COUNTIFS(Sheet2!$F$6:$F$36,TKchung!$B27,Sheet2!$C$6:$C$36,TKchung!J$3)</f>
        <v>0</v>
      </c>
      <c r="K27" s="20">
        <f>COUNTIFS(Sheet1!$F$6:$F$54,TKchung!$B27,Sheet1!$C$6:$C$54,TKchung!K$3)+COUNTIFS(Sheet2!$F$6:$F$36,TKchung!$B27,Sheet2!$C$6:$C$36,TKchung!K$3)</f>
        <v>0</v>
      </c>
      <c r="L27" s="16">
        <f t="shared" si="0"/>
        <v>0</v>
      </c>
    </row>
    <row r="28" spans="1:12" x14ac:dyDescent="0.3">
      <c r="A28" s="14">
        <v>25</v>
      </c>
      <c r="B28" s="15" t="s">
        <v>18</v>
      </c>
      <c r="C28" s="15" t="s">
        <v>19</v>
      </c>
      <c r="D28" s="26">
        <v>360</v>
      </c>
      <c r="E28" s="23">
        <f t="shared" si="1"/>
        <v>2</v>
      </c>
      <c r="F28" s="20">
        <f>COUNTIFS(Sheet1!$F$6:$F$54,TKchung!$B28,Sheet1!$C$6:$C$54,TKchung!F$3)+COUNTIFS(Sheet2!$F$6:$F$36,TKchung!$B28,Sheet2!$C$6:$C$36,TKchung!F$3)</f>
        <v>1</v>
      </c>
      <c r="G28" s="20">
        <f>COUNTIFS(Sheet1!$F$6:$F$54,TKchung!$B28,Sheet1!$C$6:$C$54,TKchung!G$3)+COUNTIFS(Sheet2!$F$6:$F$36,TKchung!$B28,Sheet2!$C$6:$C$36,TKchung!G$3)</f>
        <v>0</v>
      </c>
      <c r="H28" s="20">
        <f>COUNTIFS(Sheet1!$F$6:$F$54,TKchung!$B28,Sheet1!$C$6:$C$54,TKchung!H$3)+COUNTIFS(Sheet2!$F$6:$F$36,TKchung!$B28,Sheet2!$C$6:$C$36,TKchung!H$3)</f>
        <v>0</v>
      </c>
      <c r="I28" s="20">
        <f>COUNTIFS(Sheet1!$F$6:$F$54,TKchung!$B28,Sheet1!$C$6:$C$54,TKchung!I$3)+COUNTIFS(Sheet2!$F$6:$F$36,TKchung!$B28,Sheet2!$C$6:$C$36,TKchung!I$3)</f>
        <v>0</v>
      </c>
      <c r="J28" s="20">
        <f>COUNTIFS(Sheet1!$F$6:$F$54,TKchung!$B28,Sheet1!$C$6:$C$54,TKchung!J$3)+COUNTIFS(Sheet2!$F$6:$F$36,TKchung!$B28,Sheet2!$C$6:$C$36,TKchung!J$3)</f>
        <v>1</v>
      </c>
      <c r="K28" s="20">
        <f>COUNTIFS(Sheet1!$F$6:$F$54,TKchung!$B28,Sheet1!$C$6:$C$54,TKchung!K$3)+COUNTIFS(Sheet2!$F$6:$F$36,TKchung!$B28,Sheet2!$C$6:$C$36,TKchung!K$3)</f>
        <v>1</v>
      </c>
      <c r="L28" s="16">
        <f t="shared" si="0"/>
        <v>3</v>
      </c>
    </row>
    <row r="29" spans="1:12" x14ac:dyDescent="0.3">
      <c r="A29" s="14">
        <v>26</v>
      </c>
      <c r="B29" s="15" t="s">
        <v>68</v>
      </c>
      <c r="C29" s="15" t="s">
        <v>69</v>
      </c>
      <c r="D29" s="26">
        <v>100</v>
      </c>
      <c r="E29" s="23">
        <f t="shared" si="1"/>
        <v>0</v>
      </c>
      <c r="F29" s="27">
        <f>COUNTIFS(Sheet1!$F$6:$F$54,TKchung!$B29,Sheet1!$C$6:$C$54,TKchung!F$3)+COUNTIFS(Sheet2!$F$6:$F$36,TKchung!$B29,Sheet2!$C$6:$C$36,TKchung!F$3)</f>
        <v>0</v>
      </c>
      <c r="G29" s="20">
        <f>COUNTIFS(Sheet1!$F$6:$F$54,TKchung!$B29,Sheet1!$C$6:$C$54,TKchung!G$3)+COUNTIFS(Sheet2!$F$6:$F$36,TKchung!$B29,Sheet2!$C$6:$C$36,TKchung!G$3)</f>
        <v>0</v>
      </c>
      <c r="H29" s="20">
        <f>COUNTIFS(Sheet1!$F$6:$F$54,TKchung!$B29,Sheet1!$C$6:$C$54,TKchung!H$3)+COUNTIFS(Sheet2!$F$6:$F$36,TKchung!$B29,Sheet2!$C$6:$C$36,TKchung!H$3)</f>
        <v>0</v>
      </c>
      <c r="I29" s="20">
        <f>COUNTIFS(Sheet1!$F$6:$F$54,TKchung!$B29,Sheet1!$C$6:$C$54,TKchung!I$3)+COUNTIFS(Sheet2!$F$6:$F$36,TKchung!$B29,Sheet2!$C$6:$C$36,TKchung!I$3)</f>
        <v>0</v>
      </c>
      <c r="J29" s="20">
        <f>COUNTIFS(Sheet1!$F$6:$F$54,TKchung!$B29,Sheet1!$C$6:$C$54,TKchung!J$3)+COUNTIFS(Sheet2!$F$6:$F$36,TKchung!$B29,Sheet2!$C$6:$C$36,TKchung!J$3)</f>
        <v>0</v>
      </c>
      <c r="K29" s="20">
        <f>COUNTIFS(Sheet1!$F$6:$F$54,TKchung!$B29,Sheet1!$C$6:$C$54,TKchung!K$3)+COUNTIFS(Sheet2!$F$6:$F$36,TKchung!$B29,Sheet2!$C$6:$C$36,TKchung!K$3)</f>
        <v>0</v>
      </c>
      <c r="L29" s="16">
        <f t="shared" si="0"/>
        <v>0</v>
      </c>
    </row>
    <row r="30" spans="1:12" x14ac:dyDescent="0.3">
      <c r="A30" s="14">
        <v>27</v>
      </c>
      <c r="B30" s="15" t="s">
        <v>22</v>
      </c>
      <c r="C30" s="15" t="s">
        <v>23</v>
      </c>
      <c r="D30" s="26">
        <v>200</v>
      </c>
      <c r="E30" s="23">
        <f t="shared" si="1"/>
        <v>1</v>
      </c>
      <c r="F30" s="20">
        <f>COUNTIFS(Sheet1!$F$6:$F$54,TKchung!$B30,Sheet1!$C$6:$C$54,TKchung!F$3)+COUNTIFS(Sheet2!$F$6:$F$36,TKchung!$B30,Sheet2!$C$6:$C$36,TKchung!F$3)</f>
        <v>0</v>
      </c>
      <c r="G30" s="20">
        <f>COUNTIFS(Sheet1!$F$6:$F$54,TKchung!$B30,Sheet1!$C$6:$C$54,TKchung!G$3)+COUNTIFS(Sheet2!$F$6:$F$36,TKchung!$B30,Sheet2!$C$6:$C$36,TKchung!G$3)</f>
        <v>0</v>
      </c>
      <c r="H30" s="20">
        <f>COUNTIFS(Sheet1!$F$6:$F$54,TKchung!$B30,Sheet1!$C$6:$C$54,TKchung!H$3)+COUNTIFS(Sheet2!$F$6:$F$36,TKchung!$B30,Sheet2!$C$6:$C$36,TKchung!H$3)</f>
        <v>0</v>
      </c>
      <c r="I30" s="20">
        <f>COUNTIFS(Sheet1!$F$6:$F$54,TKchung!$B30,Sheet1!$C$6:$C$54,TKchung!I$3)+COUNTIFS(Sheet2!$F$6:$F$36,TKchung!$B30,Sheet2!$C$6:$C$36,TKchung!I$3)</f>
        <v>1</v>
      </c>
      <c r="J30" s="20">
        <f>COUNTIFS(Sheet1!$F$6:$F$54,TKchung!$B30,Sheet1!$C$6:$C$54,TKchung!J$3)+COUNTIFS(Sheet2!$F$6:$F$36,TKchung!$B30,Sheet2!$C$6:$C$36,TKchung!J$3)</f>
        <v>0</v>
      </c>
      <c r="K30" s="20">
        <f>COUNTIFS(Sheet1!$F$6:$F$54,TKchung!$B30,Sheet1!$C$6:$C$54,TKchung!K$3)+COUNTIFS(Sheet2!$F$6:$F$36,TKchung!$B30,Sheet2!$C$6:$C$36,TKchung!K$3)</f>
        <v>3</v>
      </c>
      <c r="L30" s="16">
        <f t="shared" si="0"/>
        <v>4</v>
      </c>
    </row>
  </sheetData>
  <autoFilter ref="A3:L30" xr:uid="{49B17348-3D5C-4D4F-8F64-5E9E4E58C058}"/>
  <mergeCells count="1">
    <mergeCell ref="F2:K2"/>
  </mergeCells>
  <pageMargins left="0.7" right="0.7" top="0.75" bottom="0.75" header="0.3" footer="0.3"/>
  <pageSetup paperSize="9" scale="8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91AB7-E92D-465A-8FBE-C7C97642664A}">
  <dimension ref="A1:H54"/>
  <sheetViews>
    <sheetView zoomScaleNormal="100" workbookViewId="0">
      <selection activeCell="E60" sqref="E60"/>
    </sheetView>
  </sheetViews>
  <sheetFormatPr defaultColWidth="9.109375" defaultRowHeight="13.8" x14ac:dyDescent="0.25"/>
  <cols>
    <col min="1" max="1" width="9.109375" style="11"/>
    <col min="2" max="2" width="14.109375" style="11" customWidth="1"/>
    <col min="3" max="3" width="13.6640625" style="7" customWidth="1"/>
    <col min="4" max="4" width="18.77734375" style="7" customWidth="1"/>
    <col min="5" max="5" width="27.44140625" style="7" customWidth="1"/>
    <col min="6" max="6" width="25" style="7" customWidth="1"/>
    <col min="7" max="7" width="49.44140625" style="7" bestFit="1" customWidth="1"/>
    <col min="8" max="8" width="28.109375" style="7" customWidth="1"/>
    <col min="9" max="9" width="30.44140625" style="1" customWidth="1"/>
    <col min="10" max="10" width="23.6640625" style="1" customWidth="1"/>
    <col min="11" max="16384" width="9.109375" style="1"/>
  </cols>
  <sheetData>
    <row r="1" spans="1:8" collapsed="1" x14ac:dyDescent="0.25">
      <c r="A1" s="31" t="s">
        <v>90</v>
      </c>
      <c r="B1" s="31"/>
      <c r="C1" s="31"/>
      <c r="D1" s="31"/>
      <c r="E1" s="31"/>
      <c r="F1" s="2"/>
      <c r="G1" s="2"/>
      <c r="H1" s="1"/>
    </row>
    <row r="2" spans="1:8" x14ac:dyDescent="0.25">
      <c r="A2" s="8"/>
      <c r="B2" s="8"/>
      <c r="C2" s="1"/>
      <c r="D2" s="1"/>
      <c r="E2" s="1"/>
      <c r="F2" s="1"/>
      <c r="G2" s="1"/>
      <c r="H2" s="1"/>
    </row>
    <row r="3" spans="1:8" x14ac:dyDescent="0.25">
      <c r="A3" s="32" t="s">
        <v>4</v>
      </c>
      <c r="B3" s="32"/>
      <c r="C3" s="32"/>
      <c r="D3" s="32"/>
      <c r="E3" s="32"/>
      <c r="F3" s="32"/>
      <c r="G3" s="32"/>
      <c r="H3" s="32"/>
    </row>
    <row r="4" spans="1:8" x14ac:dyDescent="0.25">
      <c r="A4" s="8"/>
      <c r="B4" s="8"/>
      <c r="C4" s="1"/>
      <c r="D4" s="1"/>
      <c r="E4" s="1"/>
      <c r="F4" s="1"/>
      <c r="G4" s="1"/>
      <c r="H4" s="1"/>
    </row>
    <row r="5" spans="1:8" ht="30.75" customHeight="1" x14ac:dyDescent="0.25">
      <c r="A5" s="9" t="s">
        <v>0</v>
      </c>
      <c r="B5" s="28" t="s">
        <v>145</v>
      </c>
      <c r="C5" s="3" t="s">
        <v>3</v>
      </c>
      <c r="D5" s="3" t="s">
        <v>1</v>
      </c>
      <c r="E5" s="4" t="s">
        <v>2</v>
      </c>
      <c r="F5" s="4" t="s">
        <v>5</v>
      </c>
      <c r="G5" s="4" t="s">
        <v>6</v>
      </c>
      <c r="H5" s="4" t="s">
        <v>7</v>
      </c>
    </row>
    <row r="6" spans="1:8" x14ac:dyDescent="0.25">
      <c r="A6" s="10">
        <v>1</v>
      </c>
      <c r="B6" s="29" t="s">
        <v>98</v>
      </c>
      <c r="C6" s="5">
        <v>3</v>
      </c>
      <c r="D6" s="5" t="s">
        <v>8</v>
      </c>
      <c r="E6" s="6" t="s">
        <v>9</v>
      </c>
      <c r="F6" s="5" t="s">
        <v>10</v>
      </c>
      <c r="G6" s="6" t="s">
        <v>11</v>
      </c>
      <c r="H6" s="5"/>
    </row>
    <row r="7" spans="1:8" ht="15" customHeight="1" x14ac:dyDescent="0.25">
      <c r="A7" s="10">
        <v>2</v>
      </c>
      <c r="B7" s="29" t="s">
        <v>99</v>
      </c>
      <c r="C7" s="5">
        <v>1</v>
      </c>
      <c r="D7" s="5" t="s">
        <v>8</v>
      </c>
      <c r="E7" s="6" t="s">
        <v>9</v>
      </c>
      <c r="F7" s="5" t="s">
        <v>12</v>
      </c>
      <c r="G7" s="6" t="s">
        <v>13</v>
      </c>
      <c r="H7" s="5"/>
    </row>
    <row r="8" spans="1:8" ht="15" customHeight="1" x14ac:dyDescent="0.25">
      <c r="A8" s="10">
        <v>3</v>
      </c>
      <c r="B8" s="29" t="s">
        <v>100</v>
      </c>
      <c r="C8" s="5">
        <v>1</v>
      </c>
      <c r="D8" s="5" t="s">
        <v>8</v>
      </c>
      <c r="E8" s="6" t="s">
        <v>9</v>
      </c>
      <c r="F8" s="5" t="s">
        <v>14</v>
      </c>
      <c r="G8" s="6" t="s">
        <v>15</v>
      </c>
      <c r="H8" s="5"/>
    </row>
    <row r="9" spans="1:8" ht="15" customHeight="1" x14ac:dyDescent="0.25">
      <c r="A9" s="10">
        <v>4</v>
      </c>
      <c r="B9" s="29" t="s">
        <v>100</v>
      </c>
      <c r="C9" s="5">
        <v>2</v>
      </c>
      <c r="D9" s="5" t="s">
        <v>8</v>
      </c>
      <c r="E9" s="6" t="s">
        <v>9</v>
      </c>
      <c r="F9" s="5" t="s">
        <v>16</v>
      </c>
      <c r="G9" s="6" t="s">
        <v>17</v>
      </c>
      <c r="H9" s="5"/>
    </row>
    <row r="10" spans="1:8" ht="15" customHeight="1" x14ac:dyDescent="0.25">
      <c r="A10" s="10">
        <v>5</v>
      </c>
      <c r="B10" s="29" t="s">
        <v>100</v>
      </c>
      <c r="C10" s="5">
        <v>5</v>
      </c>
      <c r="D10" s="5" t="s">
        <v>8</v>
      </c>
      <c r="E10" s="6" t="s">
        <v>9</v>
      </c>
      <c r="F10" s="5" t="s">
        <v>18</v>
      </c>
      <c r="G10" s="6" t="s">
        <v>19</v>
      </c>
      <c r="H10" s="5"/>
    </row>
    <row r="11" spans="1:8" ht="15" customHeight="1" x14ac:dyDescent="0.25">
      <c r="A11" s="10">
        <v>6</v>
      </c>
      <c r="B11" s="29" t="s">
        <v>100</v>
      </c>
      <c r="C11" s="5">
        <v>6</v>
      </c>
      <c r="D11" s="5" t="s">
        <v>8</v>
      </c>
      <c r="E11" s="6" t="s">
        <v>9</v>
      </c>
      <c r="F11" s="5" t="s">
        <v>20</v>
      </c>
      <c r="G11" s="6" t="s">
        <v>21</v>
      </c>
      <c r="H11" s="5"/>
    </row>
    <row r="12" spans="1:8" ht="15" customHeight="1" x14ac:dyDescent="0.25">
      <c r="A12" s="10">
        <v>7</v>
      </c>
      <c r="B12" s="29" t="s">
        <v>100</v>
      </c>
      <c r="C12" s="5">
        <v>7</v>
      </c>
      <c r="D12" s="5" t="s">
        <v>8</v>
      </c>
      <c r="E12" s="6" t="s">
        <v>9</v>
      </c>
      <c r="F12" s="5" t="s">
        <v>22</v>
      </c>
      <c r="G12" s="6" t="s">
        <v>23</v>
      </c>
      <c r="H12" s="5"/>
    </row>
    <row r="13" spans="1:8" ht="15" customHeight="1" x14ac:dyDescent="0.25">
      <c r="A13" s="10">
        <v>8</v>
      </c>
      <c r="B13" s="29" t="s">
        <v>100</v>
      </c>
      <c r="C13" s="5">
        <v>8</v>
      </c>
      <c r="D13" s="5" t="s">
        <v>8</v>
      </c>
      <c r="E13" s="6" t="s">
        <v>9</v>
      </c>
      <c r="F13" s="5" t="s">
        <v>24</v>
      </c>
      <c r="G13" s="6" t="s">
        <v>25</v>
      </c>
      <c r="H13" s="5"/>
    </row>
    <row r="14" spans="1:8" ht="15" customHeight="1" x14ac:dyDescent="0.25">
      <c r="A14" s="10">
        <v>9</v>
      </c>
      <c r="B14" s="29" t="s">
        <v>100</v>
      </c>
      <c r="C14" s="5">
        <v>9</v>
      </c>
      <c r="D14" s="5" t="s">
        <v>8</v>
      </c>
      <c r="E14" s="6" t="s">
        <v>9</v>
      </c>
      <c r="F14" s="5" t="s">
        <v>26</v>
      </c>
      <c r="G14" s="6" t="s">
        <v>27</v>
      </c>
      <c r="H14" s="5"/>
    </row>
    <row r="15" spans="1:8" ht="15" customHeight="1" x14ac:dyDescent="0.25">
      <c r="A15" s="10">
        <v>10</v>
      </c>
      <c r="B15" s="29" t="s">
        <v>101</v>
      </c>
      <c r="C15" s="5">
        <v>3</v>
      </c>
      <c r="D15" s="5" t="s">
        <v>8</v>
      </c>
      <c r="E15" s="6" t="s">
        <v>9</v>
      </c>
      <c r="F15" s="5" t="s">
        <v>28</v>
      </c>
      <c r="G15" s="6" t="s">
        <v>29</v>
      </c>
      <c r="H15" s="5"/>
    </row>
    <row r="16" spans="1:8" ht="15" customHeight="1" x14ac:dyDescent="0.25">
      <c r="A16" s="10">
        <v>11</v>
      </c>
      <c r="B16" s="29" t="s">
        <v>101</v>
      </c>
      <c r="C16" s="5">
        <v>4</v>
      </c>
      <c r="D16" s="5" t="s">
        <v>8</v>
      </c>
      <c r="E16" s="6" t="s">
        <v>9</v>
      </c>
      <c r="F16" s="5" t="s">
        <v>30</v>
      </c>
      <c r="G16" s="6" t="s">
        <v>31</v>
      </c>
      <c r="H16" s="5"/>
    </row>
    <row r="17" spans="1:8" ht="15" customHeight="1" x14ac:dyDescent="0.25">
      <c r="A17" s="10">
        <v>12</v>
      </c>
      <c r="B17" s="29" t="s">
        <v>101</v>
      </c>
      <c r="C17" s="5">
        <v>22</v>
      </c>
      <c r="D17" s="5" t="s">
        <v>8</v>
      </c>
      <c r="E17" s="6" t="s">
        <v>9</v>
      </c>
      <c r="F17" s="5" t="s">
        <v>32</v>
      </c>
      <c r="G17" s="6" t="s">
        <v>33</v>
      </c>
      <c r="H17" s="5"/>
    </row>
    <row r="18" spans="1:8" ht="15" customHeight="1" x14ac:dyDescent="0.25">
      <c r="A18" s="10">
        <v>13</v>
      </c>
      <c r="B18" s="29" t="s">
        <v>102</v>
      </c>
      <c r="C18" s="5">
        <v>9</v>
      </c>
      <c r="D18" s="5" t="s">
        <v>8</v>
      </c>
      <c r="E18" s="6" t="s">
        <v>9</v>
      </c>
      <c r="F18" s="5" t="s">
        <v>30</v>
      </c>
      <c r="G18" s="6" t="s">
        <v>31</v>
      </c>
      <c r="H18" s="5"/>
    </row>
    <row r="19" spans="1:8" ht="15" customHeight="1" x14ac:dyDescent="0.25">
      <c r="A19" s="10">
        <v>14</v>
      </c>
      <c r="B19" s="29" t="s">
        <v>103</v>
      </c>
      <c r="C19" s="5">
        <v>1</v>
      </c>
      <c r="D19" s="5" t="s">
        <v>8</v>
      </c>
      <c r="E19" s="6" t="s">
        <v>9</v>
      </c>
      <c r="F19" s="5" t="s">
        <v>18</v>
      </c>
      <c r="G19" s="6" t="s">
        <v>19</v>
      </c>
      <c r="H19" s="5"/>
    </row>
    <row r="20" spans="1:8" ht="15" customHeight="1" x14ac:dyDescent="0.25">
      <c r="A20" s="10">
        <v>15</v>
      </c>
      <c r="B20" s="29" t="s">
        <v>104</v>
      </c>
      <c r="C20" s="5">
        <v>11</v>
      </c>
      <c r="D20" s="5" t="s">
        <v>8</v>
      </c>
      <c r="E20" s="6" t="s">
        <v>9</v>
      </c>
      <c r="F20" s="5" t="s">
        <v>34</v>
      </c>
      <c r="G20" s="6" t="s">
        <v>35</v>
      </c>
      <c r="H20" s="5"/>
    </row>
    <row r="21" spans="1:8" ht="15" customHeight="1" x14ac:dyDescent="0.25">
      <c r="A21" s="10">
        <v>16</v>
      </c>
      <c r="B21" s="29" t="s">
        <v>105</v>
      </c>
      <c r="C21" s="5">
        <v>3</v>
      </c>
      <c r="D21" s="5" t="s">
        <v>8</v>
      </c>
      <c r="E21" s="6" t="s">
        <v>9</v>
      </c>
      <c r="F21" s="5" t="s">
        <v>34</v>
      </c>
      <c r="G21" s="6" t="s">
        <v>35</v>
      </c>
      <c r="H21" s="5"/>
    </row>
    <row r="22" spans="1:8" ht="15" customHeight="1" x14ac:dyDescent="0.25">
      <c r="A22" s="10">
        <v>17</v>
      </c>
      <c r="B22" s="29" t="s">
        <v>105</v>
      </c>
      <c r="C22" s="5">
        <v>4</v>
      </c>
      <c r="D22" s="5" t="s">
        <v>8</v>
      </c>
      <c r="E22" s="6" t="s">
        <v>9</v>
      </c>
      <c r="F22" s="5" t="s">
        <v>36</v>
      </c>
      <c r="G22" s="6" t="s">
        <v>37</v>
      </c>
      <c r="H22" s="5"/>
    </row>
    <row r="23" spans="1:8" ht="15" customHeight="1" x14ac:dyDescent="0.25">
      <c r="A23" s="10">
        <v>18</v>
      </c>
      <c r="B23" s="29" t="s">
        <v>106</v>
      </c>
      <c r="C23" s="5">
        <v>6</v>
      </c>
      <c r="D23" s="5" t="s">
        <v>8</v>
      </c>
      <c r="E23" s="6" t="s">
        <v>9</v>
      </c>
      <c r="F23" s="5" t="s">
        <v>38</v>
      </c>
      <c r="G23" s="6" t="s">
        <v>39</v>
      </c>
      <c r="H23" s="5"/>
    </row>
    <row r="24" spans="1:8" ht="15" customHeight="1" x14ac:dyDescent="0.25">
      <c r="A24" s="10">
        <v>19</v>
      </c>
      <c r="B24" s="29" t="s">
        <v>106</v>
      </c>
      <c r="C24" s="5">
        <v>7</v>
      </c>
      <c r="D24" s="5" t="s">
        <v>8</v>
      </c>
      <c r="E24" s="6" t="s">
        <v>9</v>
      </c>
      <c r="F24" s="5" t="s">
        <v>20</v>
      </c>
      <c r="G24" s="6" t="s">
        <v>21</v>
      </c>
      <c r="H24" s="5"/>
    </row>
    <row r="25" spans="1:8" ht="15" customHeight="1" x14ac:dyDescent="0.25">
      <c r="A25" s="10">
        <v>20</v>
      </c>
      <c r="B25" s="29" t="s">
        <v>107</v>
      </c>
      <c r="C25" s="5">
        <v>9</v>
      </c>
      <c r="D25" s="5" t="s">
        <v>8</v>
      </c>
      <c r="E25" s="6" t="s">
        <v>9</v>
      </c>
      <c r="F25" s="5" t="s">
        <v>36</v>
      </c>
      <c r="G25" s="6" t="s">
        <v>37</v>
      </c>
      <c r="H25" s="5"/>
    </row>
    <row r="26" spans="1:8" ht="15" customHeight="1" x14ac:dyDescent="0.25">
      <c r="A26" s="10">
        <v>21</v>
      </c>
      <c r="B26" s="29" t="s">
        <v>108</v>
      </c>
      <c r="C26" s="5">
        <v>7</v>
      </c>
      <c r="D26" s="5" t="s">
        <v>8</v>
      </c>
      <c r="E26" s="6" t="s">
        <v>9</v>
      </c>
      <c r="F26" s="5" t="s">
        <v>40</v>
      </c>
      <c r="G26" s="6" t="s">
        <v>41</v>
      </c>
      <c r="H26" s="5"/>
    </row>
    <row r="27" spans="1:8" ht="15" customHeight="1" x14ac:dyDescent="0.25">
      <c r="A27" s="10">
        <v>22</v>
      </c>
      <c r="B27" s="29" t="s">
        <v>108</v>
      </c>
      <c r="C27" s="5">
        <v>8</v>
      </c>
      <c r="D27" s="5" t="s">
        <v>8</v>
      </c>
      <c r="E27" s="6" t="s">
        <v>9</v>
      </c>
      <c r="F27" s="5" t="s">
        <v>24</v>
      </c>
      <c r="G27" s="6" t="s">
        <v>25</v>
      </c>
      <c r="H27" s="5"/>
    </row>
    <row r="28" spans="1:8" ht="15" customHeight="1" x14ac:dyDescent="0.25">
      <c r="A28" s="10">
        <v>23</v>
      </c>
      <c r="B28" s="29" t="s">
        <v>108</v>
      </c>
      <c r="C28" s="5">
        <v>10</v>
      </c>
      <c r="D28" s="5" t="s">
        <v>8</v>
      </c>
      <c r="E28" s="6" t="s">
        <v>9</v>
      </c>
      <c r="F28" s="5" t="s">
        <v>42</v>
      </c>
      <c r="G28" s="6" t="s">
        <v>43</v>
      </c>
      <c r="H28" s="5"/>
    </row>
    <row r="29" spans="1:8" ht="15" customHeight="1" x14ac:dyDescent="0.25">
      <c r="A29" s="10">
        <v>24</v>
      </c>
      <c r="B29" s="29" t="s">
        <v>109</v>
      </c>
      <c r="C29" s="5">
        <v>13</v>
      </c>
      <c r="D29" s="5" t="s">
        <v>8</v>
      </c>
      <c r="E29" s="6" t="s">
        <v>9</v>
      </c>
      <c r="F29" s="5" t="s">
        <v>44</v>
      </c>
      <c r="G29" s="6" t="s">
        <v>45</v>
      </c>
      <c r="H29" s="5"/>
    </row>
    <row r="30" spans="1:8" ht="15" customHeight="1" x14ac:dyDescent="0.25">
      <c r="A30" s="10">
        <v>25</v>
      </c>
      <c r="B30" s="29" t="s">
        <v>110</v>
      </c>
      <c r="C30" s="5">
        <v>20</v>
      </c>
      <c r="D30" s="5" t="s">
        <v>8</v>
      </c>
      <c r="E30" s="6" t="s">
        <v>9</v>
      </c>
      <c r="F30" s="5" t="s">
        <v>46</v>
      </c>
      <c r="G30" s="6" t="s">
        <v>47</v>
      </c>
      <c r="H30" s="5"/>
    </row>
    <row r="31" spans="1:8" ht="15" customHeight="1" x14ac:dyDescent="0.25">
      <c r="A31" s="10">
        <v>26</v>
      </c>
      <c r="B31" s="29" t="s">
        <v>111</v>
      </c>
      <c r="C31" s="5">
        <v>17</v>
      </c>
      <c r="D31" s="5" t="s">
        <v>8</v>
      </c>
      <c r="E31" s="6" t="s">
        <v>9</v>
      </c>
      <c r="F31" s="5" t="s">
        <v>14</v>
      </c>
      <c r="G31" s="6" t="s">
        <v>15</v>
      </c>
      <c r="H31" s="5"/>
    </row>
    <row r="32" spans="1:8" ht="15" customHeight="1" x14ac:dyDescent="0.25">
      <c r="A32" s="10">
        <v>27</v>
      </c>
      <c r="B32" s="29" t="s">
        <v>111</v>
      </c>
      <c r="C32" s="5">
        <v>18</v>
      </c>
      <c r="D32" s="5" t="s">
        <v>8</v>
      </c>
      <c r="E32" s="6" t="s">
        <v>9</v>
      </c>
      <c r="F32" s="5" t="s">
        <v>48</v>
      </c>
      <c r="G32" s="6" t="s">
        <v>49</v>
      </c>
      <c r="H32" s="5"/>
    </row>
    <row r="33" spans="1:8" ht="15" customHeight="1" x14ac:dyDescent="0.25">
      <c r="A33" s="10">
        <v>28</v>
      </c>
      <c r="B33" s="29" t="s">
        <v>111</v>
      </c>
      <c r="C33" s="5">
        <v>19</v>
      </c>
      <c r="D33" s="5" t="s">
        <v>8</v>
      </c>
      <c r="E33" s="6" t="s">
        <v>9</v>
      </c>
      <c r="F33" s="5" t="s">
        <v>22</v>
      </c>
      <c r="G33" s="6" t="s">
        <v>23</v>
      </c>
      <c r="H33" s="5"/>
    </row>
    <row r="34" spans="1:8" ht="15" customHeight="1" x14ac:dyDescent="0.25">
      <c r="A34" s="10">
        <v>29</v>
      </c>
      <c r="B34" s="29" t="s">
        <v>112</v>
      </c>
      <c r="C34" s="5">
        <v>12</v>
      </c>
      <c r="D34" s="5" t="s">
        <v>8</v>
      </c>
      <c r="E34" s="6" t="s">
        <v>9</v>
      </c>
      <c r="F34" s="5" t="s">
        <v>28</v>
      </c>
      <c r="G34" s="6" t="s">
        <v>29</v>
      </c>
      <c r="H34" s="5"/>
    </row>
    <row r="35" spans="1:8" ht="15" customHeight="1" x14ac:dyDescent="0.25">
      <c r="A35" s="10">
        <v>30</v>
      </c>
      <c r="B35" s="29" t="s">
        <v>113</v>
      </c>
      <c r="C35" s="5">
        <v>5</v>
      </c>
      <c r="D35" s="5" t="s">
        <v>8</v>
      </c>
      <c r="E35" s="6" t="s">
        <v>9</v>
      </c>
      <c r="F35" s="5" t="s">
        <v>50</v>
      </c>
      <c r="G35" s="6" t="s">
        <v>51</v>
      </c>
      <c r="H35" s="5"/>
    </row>
    <row r="36" spans="1:8" ht="15" customHeight="1" x14ac:dyDescent="0.25">
      <c r="A36" s="10">
        <v>31</v>
      </c>
      <c r="B36" s="29" t="s">
        <v>114</v>
      </c>
      <c r="C36" s="5">
        <v>25</v>
      </c>
      <c r="D36" s="5" t="s">
        <v>8</v>
      </c>
      <c r="E36" s="6" t="s">
        <v>9</v>
      </c>
      <c r="F36" s="5" t="s">
        <v>52</v>
      </c>
      <c r="G36" s="6" t="s">
        <v>53</v>
      </c>
      <c r="H36" s="5"/>
    </row>
    <row r="37" spans="1:8" ht="15" customHeight="1" x14ac:dyDescent="0.25">
      <c r="A37" s="10">
        <v>32</v>
      </c>
      <c r="B37" s="29" t="s">
        <v>114</v>
      </c>
      <c r="C37" s="5">
        <v>26</v>
      </c>
      <c r="D37" s="5" t="s">
        <v>8</v>
      </c>
      <c r="E37" s="6" t="s">
        <v>9</v>
      </c>
      <c r="F37" s="5" t="s">
        <v>54</v>
      </c>
      <c r="G37" s="6" t="s">
        <v>55</v>
      </c>
      <c r="H37" s="5"/>
    </row>
    <row r="38" spans="1:8" ht="15" customHeight="1" x14ac:dyDescent="0.25">
      <c r="A38" s="10">
        <v>33</v>
      </c>
      <c r="B38" s="29" t="s">
        <v>114</v>
      </c>
      <c r="C38" s="5">
        <v>27</v>
      </c>
      <c r="D38" s="5" t="s">
        <v>8</v>
      </c>
      <c r="E38" s="6" t="s">
        <v>9</v>
      </c>
      <c r="F38" s="5" t="s">
        <v>56</v>
      </c>
      <c r="G38" s="6" t="s">
        <v>57</v>
      </c>
      <c r="H38" s="5"/>
    </row>
    <row r="39" spans="1:8" ht="15" customHeight="1" x14ac:dyDescent="0.25">
      <c r="A39" s="10">
        <v>34</v>
      </c>
      <c r="B39" s="29" t="s">
        <v>115</v>
      </c>
      <c r="C39" s="5">
        <v>3</v>
      </c>
      <c r="D39" s="5" t="s">
        <v>8</v>
      </c>
      <c r="E39" s="6" t="s">
        <v>9</v>
      </c>
      <c r="F39" s="5" t="s">
        <v>34</v>
      </c>
      <c r="G39" s="6" t="s">
        <v>35</v>
      </c>
      <c r="H39" s="5"/>
    </row>
    <row r="40" spans="1:8" ht="15" customHeight="1" x14ac:dyDescent="0.25">
      <c r="A40" s="10">
        <v>35</v>
      </c>
      <c r="B40" s="29" t="s">
        <v>115</v>
      </c>
      <c r="C40" s="5">
        <v>4</v>
      </c>
      <c r="D40" s="5" t="s">
        <v>8</v>
      </c>
      <c r="E40" s="6" t="s">
        <v>9</v>
      </c>
      <c r="F40" s="5" t="s">
        <v>28</v>
      </c>
      <c r="G40" s="6" t="s">
        <v>29</v>
      </c>
      <c r="H40" s="5"/>
    </row>
    <row r="41" spans="1:8" ht="15" customHeight="1" x14ac:dyDescent="0.25">
      <c r="A41" s="10">
        <v>36</v>
      </c>
      <c r="B41" s="29" t="s">
        <v>116</v>
      </c>
      <c r="C41" s="5">
        <v>5</v>
      </c>
      <c r="D41" s="5" t="s">
        <v>8</v>
      </c>
      <c r="E41" s="6" t="s">
        <v>9</v>
      </c>
      <c r="F41" s="5" t="s">
        <v>58</v>
      </c>
      <c r="G41" s="6" t="s">
        <v>59</v>
      </c>
      <c r="H41" s="5"/>
    </row>
    <row r="42" spans="1:8" ht="15" customHeight="1" x14ac:dyDescent="0.25">
      <c r="A42" s="10">
        <v>37</v>
      </c>
      <c r="B42" s="29" t="s">
        <v>117</v>
      </c>
      <c r="C42" s="5">
        <v>1</v>
      </c>
      <c r="D42" s="5" t="s">
        <v>8</v>
      </c>
      <c r="E42" s="6" t="s">
        <v>9</v>
      </c>
      <c r="F42" s="5" t="s">
        <v>42</v>
      </c>
      <c r="G42" s="6" t="s">
        <v>43</v>
      </c>
      <c r="H42" s="5"/>
    </row>
    <row r="43" spans="1:8" ht="15" customHeight="1" x14ac:dyDescent="0.25">
      <c r="A43" s="10">
        <v>38</v>
      </c>
      <c r="B43" s="29" t="s">
        <v>118</v>
      </c>
      <c r="C43" s="5">
        <v>6</v>
      </c>
      <c r="D43" s="5" t="s">
        <v>8</v>
      </c>
      <c r="E43" s="6" t="s">
        <v>9</v>
      </c>
      <c r="F43" s="5" t="s">
        <v>14</v>
      </c>
      <c r="G43" s="6" t="s">
        <v>15</v>
      </c>
      <c r="H43" s="5"/>
    </row>
    <row r="44" spans="1:8" ht="15" customHeight="1" x14ac:dyDescent="0.25">
      <c r="A44" s="10">
        <v>39</v>
      </c>
      <c r="B44" s="29" t="s">
        <v>118</v>
      </c>
      <c r="C44" s="5">
        <v>7</v>
      </c>
      <c r="D44" s="5" t="s">
        <v>8</v>
      </c>
      <c r="E44" s="6" t="s">
        <v>9</v>
      </c>
      <c r="F44" s="5" t="s">
        <v>60</v>
      </c>
      <c r="G44" s="6" t="s">
        <v>61</v>
      </c>
      <c r="H44" s="5"/>
    </row>
    <row r="45" spans="1:8" ht="15" customHeight="1" x14ac:dyDescent="0.25">
      <c r="A45" s="10">
        <v>40</v>
      </c>
      <c r="B45" s="29" t="s">
        <v>119</v>
      </c>
      <c r="C45" s="5">
        <v>4</v>
      </c>
      <c r="D45" s="5" t="s">
        <v>8</v>
      </c>
      <c r="E45" s="6" t="s">
        <v>9</v>
      </c>
      <c r="F45" s="5" t="s">
        <v>36</v>
      </c>
      <c r="G45" s="6" t="s">
        <v>37</v>
      </c>
      <c r="H45" s="5"/>
    </row>
    <row r="46" spans="1:8" ht="15" customHeight="1" x14ac:dyDescent="0.25">
      <c r="A46" s="10">
        <v>41</v>
      </c>
      <c r="B46" s="29" t="s">
        <v>120</v>
      </c>
      <c r="C46" s="5">
        <v>2</v>
      </c>
      <c r="D46" s="5" t="s">
        <v>8</v>
      </c>
      <c r="E46" s="6" t="s">
        <v>9</v>
      </c>
      <c r="F46" s="5" t="s">
        <v>36</v>
      </c>
      <c r="G46" s="6" t="s">
        <v>37</v>
      </c>
      <c r="H46" s="5"/>
    </row>
    <row r="47" spans="1:8" ht="15" customHeight="1" x14ac:dyDescent="0.25">
      <c r="A47" s="10">
        <v>42</v>
      </c>
      <c r="B47" s="29" t="s">
        <v>121</v>
      </c>
      <c r="C47" s="5">
        <v>8</v>
      </c>
      <c r="D47" s="5" t="s">
        <v>8</v>
      </c>
      <c r="E47" s="6" t="s">
        <v>9</v>
      </c>
      <c r="F47" s="5" t="s">
        <v>18</v>
      </c>
      <c r="G47" s="6" t="s">
        <v>19</v>
      </c>
      <c r="H47" s="5"/>
    </row>
    <row r="48" spans="1:8" ht="15" customHeight="1" x14ac:dyDescent="0.25">
      <c r="A48" s="10">
        <v>43</v>
      </c>
      <c r="B48" s="29" t="s">
        <v>122</v>
      </c>
      <c r="C48" s="5">
        <v>6</v>
      </c>
      <c r="D48" s="5" t="s">
        <v>8</v>
      </c>
      <c r="E48" s="6" t="s">
        <v>9</v>
      </c>
      <c r="F48" s="5" t="s">
        <v>40</v>
      </c>
      <c r="G48" s="6" t="s">
        <v>41</v>
      </c>
      <c r="H48" s="5"/>
    </row>
    <row r="49" spans="1:8" ht="15" customHeight="1" x14ac:dyDescent="0.25">
      <c r="A49" s="10">
        <v>44</v>
      </c>
      <c r="B49" s="29" t="s">
        <v>123</v>
      </c>
      <c r="C49" s="5">
        <v>2</v>
      </c>
      <c r="D49" s="5" t="s">
        <v>8</v>
      </c>
      <c r="E49" s="6" t="s">
        <v>9</v>
      </c>
      <c r="F49" s="5" t="s">
        <v>62</v>
      </c>
      <c r="G49" s="6" t="s">
        <v>63</v>
      </c>
      <c r="H49" s="5"/>
    </row>
    <row r="50" spans="1:8" ht="15" customHeight="1" x14ac:dyDescent="0.25">
      <c r="A50" s="10">
        <v>45</v>
      </c>
      <c r="B50" s="29" t="s">
        <v>123</v>
      </c>
      <c r="C50" s="5">
        <v>7</v>
      </c>
      <c r="D50" s="5" t="s">
        <v>8</v>
      </c>
      <c r="E50" s="6" t="s">
        <v>9</v>
      </c>
      <c r="F50" s="5" t="s">
        <v>64</v>
      </c>
      <c r="G50" s="6" t="s">
        <v>65</v>
      </c>
      <c r="H50" s="5"/>
    </row>
    <row r="51" spans="1:8" ht="15" customHeight="1" x14ac:dyDescent="0.25">
      <c r="A51" s="10">
        <v>46</v>
      </c>
      <c r="B51" s="29" t="s">
        <v>124</v>
      </c>
      <c r="C51" s="5">
        <v>1</v>
      </c>
      <c r="D51" s="5" t="s">
        <v>8</v>
      </c>
      <c r="E51" s="6" t="s">
        <v>9</v>
      </c>
      <c r="F51" s="5" t="s">
        <v>42</v>
      </c>
      <c r="G51" s="6" t="s">
        <v>43</v>
      </c>
      <c r="H51" s="5"/>
    </row>
    <row r="52" spans="1:8" ht="15" customHeight="1" x14ac:dyDescent="0.25">
      <c r="A52" s="10">
        <v>47</v>
      </c>
      <c r="B52" s="29" t="s">
        <v>125</v>
      </c>
      <c r="C52" s="5">
        <v>3</v>
      </c>
      <c r="D52" s="5" t="s">
        <v>8</v>
      </c>
      <c r="E52" s="6" t="s">
        <v>9</v>
      </c>
      <c r="F52" s="5" t="s">
        <v>42</v>
      </c>
      <c r="G52" s="6" t="s">
        <v>43</v>
      </c>
      <c r="H52" s="5"/>
    </row>
    <row r="53" spans="1:8" ht="15" customHeight="1" x14ac:dyDescent="0.25">
      <c r="A53" s="10">
        <v>48</v>
      </c>
      <c r="B53" s="29" t="s">
        <v>125</v>
      </c>
      <c r="C53" s="5">
        <v>8</v>
      </c>
      <c r="D53" s="5" t="s">
        <v>8</v>
      </c>
      <c r="E53" s="6" t="s">
        <v>9</v>
      </c>
      <c r="F53" s="5" t="s">
        <v>66</v>
      </c>
      <c r="G53" s="6" t="s">
        <v>67</v>
      </c>
      <c r="H53" s="5"/>
    </row>
    <row r="54" spans="1:8" ht="15" customHeight="1" x14ac:dyDescent="0.25">
      <c r="A54" s="10">
        <v>49</v>
      </c>
      <c r="B54" s="29" t="s">
        <v>125</v>
      </c>
      <c r="C54" s="5">
        <v>9</v>
      </c>
      <c r="D54" s="5" t="s">
        <v>8</v>
      </c>
      <c r="E54" s="6" t="s">
        <v>9</v>
      </c>
      <c r="F54" s="5" t="s">
        <v>34</v>
      </c>
      <c r="G54" s="6" t="s">
        <v>35</v>
      </c>
      <c r="H54" s="5"/>
    </row>
  </sheetData>
  <autoFilter ref="A5:J5" xr:uid="{FB091AB7-E92D-465A-8FBE-C7C97642664A}"/>
  <mergeCells count="2">
    <mergeCell ref="A1:E1"/>
    <mergeCell ref="A3:H3"/>
  </mergeCells>
  <pageMargins left="0.7" right="0.7" top="0.75" bottom="0.75" header="0.3" footer="0.3"/>
  <pageSetup paperSize="9" pageOrder="overThenDown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0E8F7-2A71-4C51-8E70-F1EC670F0A41}">
  <sheetPr>
    <pageSetUpPr autoPageBreaks="0"/>
  </sheetPr>
  <dimension ref="A1:K36"/>
  <sheetViews>
    <sheetView tabSelected="1" topLeftCell="A6" zoomScaleNormal="100" workbookViewId="0">
      <selection activeCell="G43" sqref="G43"/>
    </sheetView>
  </sheetViews>
  <sheetFormatPr defaultColWidth="8.77734375" defaultRowHeight="14.4" x14ac:dyDescent="0.3"/>
  <cols>
    <col min="1" max="1" width="6.44140625" customWidth="1"/>
    <col min="2" max="2" width="14" customWidth="1"/>
    <col min="3" max="3" width="7.109375" customWidth="1"/>
    <col min="4" max="4" width="7.77734375" customWidth="1"/>
    <col min="5" max="5" width="28.77734375" customWidth="1"/>
    <col min="6" max="6" width="12.77734375" customWidth="1"/>
    <col min="7" max="7" width="52.44140625" customWidth="1"/>
    <col min="8" max="8" width="19" customWidth="1"/>
    <col min="9" max="9" width="30.44140625" customWidth="1"/>
    <col min="10" max="10" width="9.109375" customWidth="1"/>
  </cols>
  <sheetData>
    <row r="1" spans="1:11" x14ac:dyDescent="0.3">
      <c r="A1" s="33"/>
      <c r="B1" s="33"/>
      <c r="C1" s="33"/>
      <c r="D1" s="33"/>
      <c r="E1" s="33"/>
    </row>
    <row r="2" spans="1:11" x14ac:dyDescent="0.3">
      <c r="E2" s="1"/>
    </row>
    <row r="3" spans="1:11" x14ac:dyDescent="0.3">
      <c r="A3" s="32" t="s">
        <v>4</v>
      </c>
      <c r="B3" s="33"/>
      <c r="C3" s="33"/>
      <c r="D3" s="33"/>
      <c r="E3" s="33"/>
      <c r="F3" s="33"/>
      <c r="G3" s="33"/>
      <c r="H3" s="33"/>
    </row>
    <row r="4" spans="1:11" x14ac:dyDescent="0.3">
      <c r="E4" s="1"/>
    </row>
    <row r="5" spans="1:11" ht="27.6" x14ac:dyDescent="0.3">
      <c r="A5" s="9" t="s">
        <v>0</v>
      </c>
      <c r="B5" s="4" t="s">
        <v>145</v>
      </c>
      <c r="C5" s="3" t="s">
        <v>3</v>
      </c>
      <c r="D5" s="3" t="s">
        <v>1</v>
      </c>
      <c r="E5" s="4" t="s">
        <v>2</v>
      </c>
      <c r="F5" s="4" t="s">
        <v>5</v>
      </c>
      <c r="G5" s="4" t="s">
        <v>6</v>
      </c>
      <c r="H5" s="4" t="s">
        <v>7</v>
      </c>
    </row>
    <row r="6" spans="1:11" x14ac:dyDescent="0.3">
      <c r="A6" s="10">
        <v>1</v>
      </c>
      <c r="B6" s="29" t="s">
        <v>126</v>
      </c>
      <c r="C6" s="5">
        <v>2</v>
      </c>
      <c r="D6" s="5" t="s">
        <v>8</v>
      </c>
      <c r="E6" s="6" t="s">
        <v>9</v>
      </c>
      <c r="F6" s="5" t="s">
        <v>74</v>
      </c>
      <c r="G6" s="6" t="s">
        <v>75</v>
      </c>
      <c r="H6" s="5"/>
    </row>
    <row r="7" spans="1:11" x14ac:dyDescent="0.3">
      <c r="A7" s="10">
        <v>2</v>
      </c>
      <c r="B7" s="29" t="s">
        <v>127</v>
      </c>
      <c r="C7" s="5">
        <v>2</v>
      </c>
      <c r="D7" s="5" t="s">
        <v>8</v>
      </c>
      <c r="E7" s="6" t="s">
        <v>9</v>
      </c>
      <c r="F7" s="5" t="s">
        <v>30</v>
      </c>
      <c r="G7" s="6" t="s">
        <v>31</v>
      </c>
      <c r="H7" s="5"/>
    </row>
    <row r="8" spans="1:11" x14ac:dyDescent="0.3">
      <c r="A8" s="10">
        <v>3</v>
      </c>
      <c r="B8" s="29" t="s">
        <v>128</v>
      </c>
      <c r="C8" s="5">
        <v>5</v>
      </c>
      <c r="D8" s="5" t="s">
        <v>8</v>
      </c>
      <c r="E8" s="6" t="s">
        <v>9</v>
      </c>
      <c r="F8" s="5" t="s">
        <v>30</v>
      </c>
      <c r="G8" s="6" t="s">
        <v>31</v>
      </c>
      <c r="H8" s="5"/>
    </row>
    <row r="9" spans="1:11" x14ac:dyDescent="0.3">
      <c r="A9" s="10">
        <v>4</v>
      </c>
      <c r="B9" s="29" t="s">
        <v>128</v>
      </c>
      <c r="C9" s="5">
        <v>6</v>
      </c>
      <c r="D9" s="5" t="s">
        <v>8</v>
      </c>
      <c r="E9" s="6" t="s">
        <v>9</v>
      </c>
      <c r="F9" s="5" t="s">
        <v>80</v>
      </c>
      <c r="G9" s="6" t="s">
        <v>81</v>
      </c>
      <c r="H9" s="5"/>
    </row>
    <row r="10" spans="1:11" x14ac:dyDescent="0.3">
      <c r="A10" s="10">
        <v>5</v>
      </c>
      <c r="B10" s="29" t="s">
        <v>128</v>
      </c>
      <c r="C10" s="5">
        <v>7</v>
      </c>
      <c r="D10" s="5" t="s">
        <v>8</v>
      </c>
      <c r="E10" s="6" t="s">
        <v>9</v>
      </c>
      <c r="F10" s="5" t="s">
        <v>78</v>
      </c>
      <c r="G10" s="6" t="s">
        <v>79</v>
      </c>
      <c r="H10" s="5"/>
    </row>
    <row r="11" spans="1:11" x14ac:dyDescent="0.3">
      <c r="A11" s="10">
        <v>6</v>
      </c>
      <c r="B11" s="29" t="s">
        <v>129</v>
      </c>
      <c r="C11" s="5">
        <v>4</v>
      </c>
      <c r="D11" s="5" t="s">
        <v>8</v>
      </c>
      <c r="E11" s="6" t="s">
        <v>9</v>
      </c>
      <c r="F11" s="5" t="s">
        <v>22</v>
      </c>
      <c r="G11" s="6" t="s">
        <v>23</v>
      </c>
      <c r="H11" s="5"/>
    </row>
    <row r="12" spans="1:11" x14ac:dyDescent="0.3">
      <c r="A12" s="10">
        <v>7</v>
      </c>
      <c r="B12" s="29" t="s">
        <v>130</v>
      </c>
      <c r="C12" s="5">
        <v>4</v>
      </c>
      <c r="D12" s="5" t="s">
        <v>8</v>
      </c>
      <c r="E12" s="6" t="s">
        <v>9</v>
      </c>
      <c r="F12" s="5" t="s">
        <v>36</v>
      </c>
      <c r="G12" s="6" t="s">
        <v>37</v>
      </c>
      <c r="H12" s="5"/>
    </row>
    <row r="13" spans="1:11" x14ac:dyDescent="0.3">
      <c r="A13" s="10">
        <v>8</v>
      </c>
      <c r="B13" s="29" t="s">
        <v>131</v>
      </c>
      <c r="C13" s="5">
        <v>1</v>
      </c>
      <c r="D13" s="5" t="s">
        <v>8</v>
      </c>
      <c r="E13" s="6" t="s">
        <v>9</v>
      </c>
      <c r="F13" s="5" t="s">
        <v>60</v>
      </c>
      <c r="G13" s="6" t="s">
        <v>61</v>
      </c>
      <c r="H13" s="5"/>
    </row>
    <row r="14" spans="1:11" x14ac:dyDescent="0.3">
      <c r="A14" s="10">
        <v>9</v>
      </c>
      <c r="B14" s="29" t="s">
        <v>131</v>
      </c>
      <c r="C14" s="5">
        <v>2</v>
      </c>
      <c r="D14" s="5" t="s">
        <v>8</v>
      </c>
      <c r="E14" s="6" t="s">
        <v>9</v>
      </c>
      <c r="F14" s="5" t="s">
        <v>74</v>
      </c>
      <c r="G14" s="6" t="s">
        <v>75</v>
      </c>
      <c r="H14" s="5"/>
    </row>
    <row r="15" spans="1:11" x14ac:dyDescent="0.3">
      <c r="A15" s="10">
        <v>10</v>
      </c>
      <c r="B15" s="29" t="s">
        <v>132</v>
      </c>
      <c r="C15" s="5">
        <v>1</v>
      </c>
      <c r="D15" s="5" t="s">
        <v>8</v>
      </c>
      <c r="E15" s="6" t="s">
        <v>9</v>
      </c>
      <c r="F15" s="5" t="s">
        <v>66</v>
      </c>
      <c r="G15" s="6" t="s">
        <v>67</v>
      </c>
      <c r="H15" s="5"/>
    </row>
    <row r="16" spans="1:11" x14ac:dyDescent="0.3">
      <c r="A16" s="10">
        <v>11</v>
      </c>
      <c r="B16" s="29" t="s">
        <v>132</v>
      </c>
      <c r="C16" s="5">
        <v>2</v>
      </c>
      <c r="D16" s="5" t="s">
        <v>8</v>
      </c>
      <c r="E16" s="6" t="s">
        <v>9</v>
      </c>
      <c r="F16" s="5" t="s">
        <v>62</v>
      </c>
      <c r="G16" s="6" t="s">
        <v>63</v>
      </c>
      <c r="H16" s="5"/>
    </row>
    <row r="17" spans="1:11" x14ac:dyDescent="0.3">
      <c r="A17" s="10">
        <v>12</v>
      </c>
      <c r="B17" s="29" t="s">
        <v>133</v>
      </c>
      <c r="C17" s="5">
        <v>5</v>
      </c>
      <c r="D17" s="5" t="s">
        <v>8</v>
      </c>
      <c r="E17" s="6" t="s">
        <v>9</v>
      </c>
      <c r="F17" s="5" t="s">
        <v>40</v>
      </c>
      <c r="G17" s="6" t="s">
        <v>41</v>
      </c>
      <c r="H17" s="5"/>
    </row>
    <row r="18" spans="1:11" x14ac:dyDescent="0.3">
      <c r="A18" s="10">
        <v>13</v>
      </c>
      <c r="B18" s="29" t="s">
        <v>134</v>
      </c>
      <c r="C18" s="5">
        <v>2</v>
      </c>
      <c r="D18" s="5" t="s">
        <v>8</v>
      </c>
      <c r="E18" s="6" t="s">
        <v>9</v>
      </c>
      <c r="F18" s="5" t="s">
        <v>74</v>
      </c>
      <c r="G18" s="6" t="s">
        <v>75</v>
      </c>
      <c r="H18" s="5"/>
    </row>
    <row r="19" spans="1:11" x14ac:dyDescent="0.3">
      <c r="A19" s="10">
        <v>14</v>
      </c>
      <c r="B19" s="29" t="s">
        <v>135</v>
      </c>
      <c r="C19" s="5">
        <v>6</v>
      </c>
      <c r="D19" s="5" t="s">
        <v>8</v>
      </c>
      <c r="E19" s="6" t="s">
        <v>9</v>
      </c>
      <c r="F19" s="5" t="s">
        <v>74</v>
      </c>
      <c r="G19" s="6" t="s">
        <v>75</v>
      </c>
      <c r="H19" s="5"/>
    </row>
    <row r="20" spans="1:11" x14ac:dyDescent="0.3">
      <c r="A20" s="10">
        <v>15</v>
      </c>
      <c r="B20" s="29" t="s">
        <v>136</v>
      </c>
      <c r="C20" s="5">
        <v>4</v>
      </c>
      <c r="D20" s="5" t="s">
        <v>8</v>
      </c>
      <c r="E20" s="6" t="s">
        <v>9</v>
      </c>
      <c r="F20" s="5" t="s">
        <v>28</v>
      </c>
      <c r="G20" s="6" t="s">
        <v>29</v>
      </c>
      <c r="H20" s="5"/>
    </row>
    <row r="21" spans="1:11" x14ac:dyDescent="0.3">
      <c r="A21" s="10">
        <v>16</v>
      </c>
      <c r="B21" s="29" t="s">
        <v>137</v>
      </c>
      <c r="C21" s="5">
        <v>2</v>
      </c>
      <c r="D21" s="5" t="s">
        <v>8</v>
      </c>
      <c r="E21" s="6" t="s">
        <v>9</v>
      </c>
      <c r="F21" s="5" t="s">
        <v>28</v>
      </c>
      <c r="G21" s="6" t="s">
        <v>29</v>
      </c>
      <c r="H21" s="5"/>
    </row>
    <row r="22" spans="1:11" x14ac:dyDescent="0.3">
      <c r="A22" s="10">
        <v>17</v>
      </c>
      <c r="B22" s="29" t="s">
        <v>137</v>
      </c>
      <c r="C22" s="5">
        <v>8</v>
      </c>
      <c r="D22" s="5" t="s">
        <v>8</v>
      </c>
      <c r="E22" s="6" t="s">
        <v>9</v>
      </c>
      <c r="F22" s="5" t="s">
        <v>30</v>
      </c>
      <c r="G22" s="6" t="s">
        <v>31</v>
      </c>
      <c r="H22" s="5"/>
    </row>
    <row r="23" spans="1:11" x14ac:dyDescent="0.3">
      <c r="A23" s="10">
        <v>18</v>
      </c>
      <c r="B23" s="29" t="s">
        <v>138</v>
      </c>
      <c r="C23" s="5">
        <v>4</v>
      </c>
      <c r="D23" s="5" t="s">
        <v>8</v>
      </c>
      <c r="E23" s="6" t="s">
        <v>9</v>
      </c>
      <c r="F23" s="5" t="s">
        <v>14</v>
      </c>
      <c r="G23" s="6" t="s">
        <v>15</v>
      </c>
      <c r="H23" s="5"/>
    </row>
    <row r="24" spans="1:11" x14ac:dyDescent="0.3">
      <c r="A24" s="10">
        <v>19</v>
      </c>
      <c r="B24" s="29" t="s">
        <v>138</v>
      </c>
      <c r="C24" s="5">
        <v>12</v>
      </c>
      <c r="D24" s="5" t="s">
        <v>8</v>
      </c>
      <c r="E24" s="6" t="s">
        <v>9</v>
      </c>
      <c r="F24" s="5" t="s">
        <v>48</v>
      </c>
      <c r="G24" s="6" t="s">
        <v>49</v>
      </c>
      <c r="H24" s="5"/>
    </row>
    <row r="25" spans="1:11" x14ac:dyDescent="0.3">
      <c r="A25" s="10">
        <v>20</v>
      </c>
      <c r="B25" s="29" t="s">
        <v>139</v>
      </c>
      <c r="C25" s="5">
        <v>1</v>
      </c>
      <c r="D25" s="5" t="s">
        <v>8</v>
      </c>
      <c r="E25" s="6" t="s">
        <v>9</v>
      </c>
      <c r="F25" s="5" t="s">
        <v>66</v>
      </c>
      <c r="G25" s="6" t="s">
        <v>67</v>
      </c>
      <c r="H25" s="5"/>
    </row>
    <row r="26" spans="1:11" x14ac:dyDescent="0.3">
      <c r="A26" s="10">
        <v>21</v>
      </c>
      <c r="B26" s="29" t="s">
        <v>139</v>
      </c>
      <c r="C26" s="5">
        <v>2</v>
      </c>
      <c r="D26" s="5" t="s">
        <v>8</v>
      </c>
      <c r="E26" s="6" t="s">
        <v>9</v>
      </c>
      <c r="F26" s="5" t="s">
        <v>72</v>
      </c>
      <c r="G26" s="6" t="s">
        <v>73</v>
      </c>
      <c r="H26" s="5"/>
    </row>
    <row r="27" spans="1:11" x14ac:dyDescent="0.3">
      <c r="A27" s="10">
        <v>22</v>
      </c>
      <c r="B27" s="29" t="s">
        <v>139</v>
      </c>
      <c r="C27" s="5">
        <v>3</v>
      </c>
      <c r="D27" s="5" t="s">
        <v>8</v>
      </c>
      <c r="E27" s="6" t="s">
        <v>9</v>
      </c>
      <c r="F27" s="5" t="s">
        <v>74</v>
      </c>
      <c r="G27" s="6" t="s">
        <v>75</v>
      </c>
      <c r="H27" s="5"/>
    </row>
    <row r="28" spans="1:11" x14ac:dyDescent="0.3">
      <c r="A28" s="10">
        <v>23</v>
      </c>
      <c r="B28" s="29" t="s">
        <v>139</v>
      </c>
      <c r="C28" s="5">
        <v>6</v>
      </c>
      <c r="D28" s="5" t="s">
        <v>8</v>
      </c>
      <c r="E28" s="6" t="s">
        <v>9</v>
      </c>
      <c r="F28" s="5" t="s">
        <v>64</v>
      </c>
      <c r="G28" s="6" t="s">
        <v>65</v>
      </c>
      <c r="H28" s="5"/>
    </row>
    <row r="29" spans="1:11" x14ac:dyDescent="0.3">
      <c r="A29" s="10">
        <v>24</v>
      </c>
      <c r="B29" s="29" t="s">
        <v>139</v>
      </c>
      <c r="C29" s="5">
        <v>8</v>
      </c>
      <c r="D29" s="5" t="s">
        <v>8</v>
      </c>
      <c r="E29" s="6" t="s">
        <v>9</v>
      </c>
      <c r="F29" s="5" t="s">
        <v>76</v>
      </c>
      <c r="G29" s="6" t="s">
        <v>77</v>
      </c>
      <c r="H29" s="5"/>
    </row>
    <row r="30" spans="1:11" x14ac:dyDescent="0.3">
      <c r="A30" s="10">
        <v>25</v>
      </c>
      <c r="B30" s="29" t="s">
        <v>140</v>
      </c>
      <c r="C30" s="5">
        <v>3</v>
      </c>
      <c r="D30" s="5" t="s">
        <v>8</v>
      </c>
      <c r="E30" s="6" t="s">
        <v>9</v>
      </c>
      <c r="F30" s="5" t="s">
        <v>30</v>
      </c>
      <c r="G30" s="6" t="s">
        <v>31</v>
      </c>
      <c r="H30" s="5"/>
    </row>
    <row r="31" spans="1:11" x14ac:dyDescent="0.3">
      <c r="A31" s="10">
        <v>26</v>
      </c>
      <c r="B31" s="29" t="s">
        <v>140</v>
      </c>
      <c r="C31" s="5">
        <v>7</v>
      </c>
      <c r="D31" s="5" t="s">
        <v>8</v>
      </c>
      <c r="E31" s="6" t="s">
        <v>9</v>
      </c>
      <c r="F31" s="5" t="s">
        <v>48</v>
      </c>
      <c r="G31" s="6" t="s">
        <v>49</v>
      </c>
      <c r="H31" s="5"/>
    </row>
    <row r="32" spans="1:11" x14ac:dyDescent="0.3">
      <c r="A32" s="10">
        <v>27</v>
      </c>
      <c r="B32" s="29" t="s">
        <v>141</v>
      </c>
      <c r="C32" s="5">
        <v>6</v>
      </c>
      <c r="D32" s="5" t="s">
        <v>8</v>
      </c>
      <c r="E32" s="6" t="s">
        <v>9</v>
      </c>
      <c r="F32" s="5" t="s">
        <v>40</v>
      </c>
      <c r="G32" s="6" t="s">
        <v>41</v>
      </c>
      <c r="H32" s="5"/>
    </row>
    <row r="33" spans="1:11" x14ac:dyDescent="0.3">
      <c r="A33" s="10">
        <v>28</v>
      </c>
      <c r="B33" s="29" t="s">
        <v>142</v>
      </c>
      <c r="C33" s="5">
        <v>8</v>
      </c>
      <c r="D33" s="5" t="s">
        <v>8</v>
      </c>
      <c r="E33" s="6" t="s">
        <v>9</v>
      </c>
      <c r="F33" s="5" t="s">
        <v>22</v>
      </c>
      <c r="G33" s="6" t="s">
        <v>23</v>
      </c>
      <c r="H33" s="5"/>
    </row>
    <row r="34" spans="1:11" x14ac:dyDescent="0.3">
      <c r="A34" s="10">
        <v>29</v>
      </c>
      <c r="B34" s="29" t="s">
        <v>143</v>
      </c>
      <c r="C34" s="5">
        <v>7</v>
      </c>
      <c r="D34" s="5" t="s">
        <v>8</v>
      </c>
      <c r="E34" s="6" t="s">
        <v>9</v>
      </c>
      <c r="F34" s="5" t="s">
        <v>42</v>
      </c>
      <c r="G34" s="6" t="s">
        <v>43</v>
      </c>
      <c r="H34" s="5"/>
    </row>
    <row r="35" spans="1:11" x14ac:dyDescent="0.3">
      <c r="A35" s="10">
        <v>30</v>
      </c>
      <c r="B35" s="29" t="s">
        <v>144</v>
      </c>
      <c r="C35" s="5">
        <v>5</v>
      </c>
      <c r="D35" s="5" t="s">
        <v>8</v>
      </c>
      <c r="E35" s="6" t="s">
        <v>9</v>
      </c>
      <c r="F35" s="5" t="s">
        <v>48</v>
      </c>
      <c r="G35" s="6" t="s">
        <v>49</v>
      </c>
      <c r="H35" s="5"/>
    </row>
    <row r="36" spans="1:11" x14ac:dyDescent="0.3">
      <c r="A36" s="10">
        <v>31</v>
      </c>
      <c r="B36" s="29" t="s">
        <v>144</v>
      </c>
      <c r="C36" s="5">
        <v>7</v>
      </c>
      <c r="D36" s="5" t="s">
        <v>8</v>
      </c>
      <c r="E36" s="6" t="s">
        <v>9</v>
      </c>
      <c r="F36" s="5" t="s">
        <v>70</v>
      </c>
      <c r="G36" s="6" t="s">
        <v>71</v>
      </c>
      <c r="H36" s="5"/>
    </row>
  </sheetData>
  <autoFilter ref="A5:I5" xr:uid="{1DA0E8F7-2A71-4C51-8E70-F1EC670F0A41}"/>
  <mergeCells count="2">
    <mergeCell ref="A1:E1"/>
    <mergeCell ref="A3:H3"/>
  </mergeCells>
  <pageMargins left="0.7" right="0.7" top="0.75" bottom="0.75" header="0.3" footer="0.3"/>
  <pageSetup paperSize="9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TKchung</vt:lpstr>
      <vt:lpstr>Sheet1</vt:lpstr>
      <vt:lpstr>Sheet2</vt:lpstr>
      <vt:lpstr>TKchung!Print_Area</vt:lpstr>
      <vt:lpstr>Sheet1!Print_Titles</vt:lpstr>
      <vt:lpstr>Sheet2!Print_Titles</vt:lpstr>
      <vt:lpstr>TKchung!Print_Titles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2025-08-12T13:52:24Z</cp:lastPrinted>
  <dcterms:created xsi:type="dcterms:W3CDTF">2025-08-12T13:16:36Z</dcterms:created>
  <dcterms:modified xsi:type="dcterms:W3CDTF">2026-04-22T14:03:36Z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